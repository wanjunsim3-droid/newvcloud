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13_ncr:1_{B3D338D3-781E-43DE-8F3C-C4CD131DF404}" xr6:coauthVersionLast="47" xr6:coauthVersionMax="47" xr10:uidLastSave="{00000000-0000-0000-0000-000000000000}"/>
  <workbookProtection workbookAlgorithmName="SHA-512" workbookHashValue="vgT3PRuWTztqpJyFRUCgGfHy1CXKFPcSDp7r/2qnGDvukYuYi4qO+cLyWWZMQdILm3XxGFFeyAyVBaUSDkV/Sg==" workbookSaltValue="lVow9oqcEl/4uCsPBXT7Xw==" workbookSpinCount="100000" lockStructure="1"/>
  <bookViews>
    <workbookView xWindow="-120" yWindow="-120" windowWidth="29040" windowHeight="15720" tabRatio="610" activeTab="1" xr2:uid="{00000000-000D-0000-FFFF-FFFF00000000}"/>
  </bookViews>
  <sheets>
    <sheet name="클라우드힐스  분양분 견적서" sheetId="15" r:id="rId1"/>
    <sheet name="클라우드힐스 임대분 견적서" sheetId="14" r:id="rId2"/>
    <sheet name="견적서사용법" sheetId="12" state="hidden" r:id="rId3"/>
    <sheet name="분양가테이블(부가세기입X)" sheetId="11" state="hidden" r:id="rId4"/>
  </sheets>
  <definedNames>
    <definedName name="_xlnm._FilterDatabase" localSheetId="3" hidden="1">'분양가테이블(부가세기입X)'!$A$3:$C$186</definedName>
    <definedName name="_xlnm.Print_Area" localSheetId="2">견적서사용법!$A$1:$AZ$45</definedName>
    <definedName name="_xlnm.Print_Area" localSheetId="0">'클라우드힐스  분양분 견적서'!$A$1:$AZ$56</definedName>
    <definedName name="_xlnm.Print_Area" localSheetId="1">'클라우드힐스 임대분 견적서'!$A$1:$AZ$54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5" l="1"/>
  <c r="E17" i="15"/>
  <c r="AE10" i="14"/>
  <c r="O11" i="14"/>
  <c r="E10" i="14" l="1"/>
  <c r="E13" i="14" l="1"/>
  <c r="E14" i="14"/>
  <c r="AU11" i="14" l="1"/>
  <c r="AU12" i="14"/>
  <c r="AU13" i="14"/>
  <c r="AU14" i="14"/>
  <c r="AU15" i="14"/>
  <c r="AU16" i="14"/>
  <c r="AU17" i="14"/>
  <c r="AU18" i="14"/>
  <c r="AU19" i="14"/>
  <c r="AU20" i="14"/>
  <c r="AU21" i="14"/>
  <c r="AU22" i="14"/>
  <c r="AU23" i="14"/>
  <c r="AU24" i="14"/>
  <c r="AU25" i="14"/>
  <c r="AU26" i="14"/>
  <c r="AU27" i="14"/>
  <c r="AU28" i="14"/>
  <c r="AU29" i="14"/>
  <c r="AU30" i="14"/>
  <c r="AU31" i="14"/>
  <c r="AU32" i="14"/>
  <c r="AU33" i="14"/>
  <c r="AU34" i="14"/>
  <c r="AI11" i="14"/>
  <c r="AQ11" i="14" s="1"/>
  <c r="AI12" i="14"/>
  <c r="AQ12" i="14" s="1"/>
  <c r="AI13" i="14"/>
  <c r="AQ13" i="14" s="1"/>
  <c r="AI14" i="14"/>
  <c r="AQ14" i="14" s="1"/>
  <c r="AI15" i="14"/>
  <c r="AQ15" i="14" s="1"/>
  <c r="AI16" i="14"/>
  <c r="AQ16" i="14" s="1"/>
  <c r="AI17" i="14"/>
  <c r="AQ17" i="14" s="1"/>
  <c r="AI18" i="14"/>
  <c r="AQ18" i="14" s="1"/>
  <c r="AI19" i="14"/>
  <c r="AQ19" i="14" s="1"/>
  <c r="AI20" i="14"/>
  <c r="AQ20" i="14" s="1"/>
  <c r="AI21" i="14"/>
  <c r="AQ21" i="14" s="1"/>
  <c r="AI22" i="14"/>
  <c r="AQ22" i="14" s="1"/>
  <c r="AI23" i="14"/>
  <c r="AQ23" i="14" s="1"/>
  <c r="AI24" i="14"/>
  <c r="AQ24" i="14" s="1"/>
  <c r="AI25" i="14"/>
  <c r="AQ25" i="14" s="1"/>
  <c r="AI26" i="14"/>
  <c r="AQ26" i="14" s="1"/>
  <c r="AI27" i="14"/>
  <c r="AQ27" i="14" s="1"/>
  <c r="AI28" i="14"/>
  <c r="AQ28" i="14" s="1"/>
  <c r="AI29" i="14"/>
  <c r="AQ29" i="14" s="1"/>
  <c r="AI30" i="14"/>
  <c r="AQ30" i="14" s="1"/>
  <c r="AI31" i="14"/>
  <c r="AQ31" i="14" s="1"/>
  <c r="AI32" i="14"/>
  <c r="AQ32" i="14" s="1"/>
  <c r="AI33" i="14"/>
  <c r="AQ33" i="14" s="1"/>
  <c r="AI34" i="14"/>
  <c r="AQ34" i="14" s="1"/>
  <c r="AE11" i="14"/>
  <c r="AE12" i="14"/>
  <c r="AE13" i="14"/>
  <c r="AE14" i="14"/>
  <c r="AE15" i="14"/>
  <c r="AE16" i="14"/>
  <c r="AE17" i="14"/>
  <c r="AE18" i="14"/>
  <c r="AE19" i="14"/>
  <c r="AE20" i="14"/>
  <c r="AE21" i="14"/>
  <c r="AE22" i="14"/>
  <c r="AE23" i="14"/>
  <c r="AE24" i="14"/>
  <c r="AE25" i="14"/>
  <c r="AE26" i="14"/>
  <c r="AE27" i="14"/>
  <c r="AE28" i="14"/>
  <c r="AE29" i="14"/>
  <c r="AE30" i="14"/>
  <c r="AE31" i="14"/>
  <c r="AE32" i="14"/>
  <c r="AE33" i="14"/>
  <c r="AE34" i="14"/>
  <c r="AA11" i="14"/>
  <c r="AA12" i="14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A32" i="14"/>
  <c r="AA33" i="14"/>
  <c r="AA34" i="14"/>
  <c r="W11" i="14"/>
  <c r="W12" i="14"/>
  <c r="W13" i="14"/>
  <c r="W14" i="14"/>
  <c r="W15" i="14"/>
  <c r="W16" i="14"/>
  <c r="W17" i="14"/>
  <c r="W18" i="14"/>
  <c r="W19" i="14"/>
  <c r="W20" i="14"/>
  <c r="W21" i="14"/>
  <c r="W22" i="14"/>
  <c r="W23" i="14"/>
  <c r="W24" i="14"/>
  <c r="W25" i="14"/>
  <c r="W26" i="14"/>
  <c r="W27" i="14"/>
  <c r="W28" i="14"/>
  <c r="W29" i="14"/>
  <c r="W30" i="14"/>
  <c r="W31" i="14"/>
  <c r="W32" i="14"/>
  <c r="W33" i="14"/>
  <c r="W34" i="14"/>
  <c r="U26" i="14"/>
  <c r="U27" i="14"/>
  <c r="U28" i="14"/>
  <c r="U29" i="14"/>
  <c r="U30" i="14"/>
  <c r="U31" i="14"/>
  <c r="U32" i="14"/>
  <c r="U33" i="14"/>
  <c r="U34" i="14"/>
  <c r="S26" i="14"/>
  <c r="S27" i="14"/>
  <c r="S28" i="14"/>
  <c r="S29" i="14"/>
  <c r="S30" i="14"/>
  <c r="S31" i="14"/>
  <c r="S32" i="14"/>
  <c r="S33" i="14"/>
  <c r="S34" i="14"/>
  <c r="Q26" i="14"/>
  <c r="Q27" i="14"/>
  <c r="Q28" i="14"/>
  <c r="Q29" i="14"/>
  <c r="Q30" i="14"/>
  <c r="Q31" i="14"/>
  <c r="Q32" i="14"/>
  <c r="Q33" i="14"/>
  <c r="Q34" i="14"/>
  <c r="O26" i="14"/>
  <c r="O27" i="14"/>
  <c r="O28" i="14"/>
  <c r="O29" i="14"/>
  <c r="O30" i="14"/>
  <c r="O31" i="14"/>
  <c r="O32" i="14"/>
  <c r="O33" i="14"/>
  <c r="O34" i="14"/>
  <c r="M26" i="14"/>
  <c r="M27" i="14"/>
  <c r="M28" i="14"/>
  <c r="M29" i="14"/>
  <c r="M30" i="14"/>
  <c r="M31" i="14"/>
  <c r="M32" i="14"/>
  <c r="M33" i="14"/>
  <c r="M34" i="14"/>
  <c r="K26" i="14"/>
  <c r="K27" i="14"/>
  <c r="K28" i="14"/>
  <c r="K29" i="14"/>
  <c r="K30" i="14"/>
  <c r="K31" i="14"/>
  <c r="K32" i="14"/>
  <c r="K33" i="14"/>
  <c r="K34" i="14"/>
  <c r="I26" i="14"/>
  <c r="I27" i="14"/>
  <c r="I28" i="14"/>
  <c r="I29" i="14"/>
  <c r="I30" i="14"/>
  <c r="I31" i="14"/>
  <c r="I32" i="14"/>
  <c r="I33" i="14"/>
  <c r="I34" i="14"/>
  <c r="U10" i="14"/>
  <c r="U11" i="14"/>
  <c r="U12" i="14"/>
  <c r="U13" i="14"/>
  <c r="S10" i="14"/>
  <c r="S11" i="14"/>
  <c r="S12" i="14"/>
  <c r="S13" i="14"/>
  <c r="Q10" i="14"/>
  <c r="Q11" i="14"/>
  <c r="Q12" i="14"/>
  <c r="Q13" i="14"/>
  <c r="O10" i="14"/>
  <c r="O12" i="14"/>
  <c r="O13" i="14"/>
  <c r="M10" i="14"/>
  <c r="M11" i="14"/>
  <c r="M12" i="14"/>
  <c r="M13" i="14"/>
  <c r="K10" i="14"/>
  <c r="K11" i="14"/>
  <c r="K12" i="14"/>
  <c r="K13" i="14"/>
  <c r="I10" i="14"/>
  <c r="I11" i="14"/>
  <c r="I12" i="14"/>
  <c r="I13" i="14"/>
  <c r="E34" i="14"/>
  <c r="E26" i="14"/>
  <c r="E27" i="14"/>
  <c r="E28" i="14"/>
  <c r="E29" i="14"/>
  <c r="E30" i="14"/>
  <c r="E31" i="14"/>
  <c r="E32" i="14"/>
  <c r="E33" i="14"/>
  <c r="E11" i="14"/>
  <c r="E12" i="14"/>
  <c r="AU10" i="14"/>
  <c r="AI10" i="14"/>
  <c r="AQ10" i="14" s="1"/>
  <c r="AA10" i="14"/>
  <c r="W10" i="14"/>
  <c r="U15" i="14"/>
  <c r="U16" i="14"/>
  <c r="U17" i="14"/>
  <c r="U18" i="14"/>
  <c r="U19" i="14"/>
  <c r="U20" i="14"/>
  <c r="U21" i="14"/>
  <c r="U22" i="14"/>
  <c r="U23" i="14"/>
  <c r="U24" i="14"/>
  <c r="U25" i="14"/>
  <c r="S15" i="14"/>
  <c r="S16" i="14"/>
  <c r="S17" i="14"/>
  <c r="S18" i="14"/>
  <c r="S19" i="14"/>
  <c r="S20" i="14"/>
  <c r="S21" i="14"/>
  <c r="S22" i="14"/>
  <c r="S23" i="14"/>
  <c r="S24" i="14"/>
  <c r="S25" i="14"/>
  <c r="Q15" i="14"/>
  <c r="Q16" i="14"/>
  <c r="Q17" i="14"/>
  <c r="Q18" i="14"/>
  <c r="Q19" i="14"/>
  <c r="Q20" i="14"/>
  <c r="Q21" i="14"/>
  <c r="Q22" i="14"/>
  <c r="Q23" i="14"/>
  <c r="Q24" i="14"/>
  <c r="Q25" i="14"/>
  <c r="O15" i="14"/>
  <c r="O16" i="14"/>
  <c r="O17" i="14"/>
  <c r="O18" i="14"/>
  <c r="O19" i="14"/>
  <c r="O20" i="14"/>
  <c r="O21" i="14"/>
  <c r="O22" i="14"/>
  <c r="O23" i="14"/>
  <c r="O24" i="14"/>
  <c r="O25" i="14"/>
  <c r="M15" i="14"/>
  <c r="M16" i="14"/>
  <c r="M17" i="14"/>
  <c r="M18" i="14"/>
  <c r="M19" i="14"/>
  <c r="M20" i="14"/>
  <c r="M21" i="14"/>
  <c r="M22" i="14"/>
  <c r="M23" i="14"/>
  <c r="M24" i="14"/>
  <c r="M25" i="14"/>
  <c r="K15" i="14"/>
  <c r="K16" i="14"/>
  <c r="K17" i="14"/>
  <c r="K18" i="14"/>
  <c r="K19" i="14"/>
  <c r="K20" i="14"/>
  <c r="K21" i="14"/>
  <c r="K22" i="14"/>
  <c r="K23" i="14"/>
  <c r="K24" i="14"/>
  <c r="K25" i="14"/>
  <c r="I15" i="14"/>
  <c r="I16" i="14"/>
  <c r="I17" i="14"/>
  <c r="I18" i="14"/>
  <c r="I19" i="14"/>
  <c r="I20" i="14"/>
  <c r="I21" i="14"/>
  <c r="I22" i="14"/>
  <c r="I23" i="14"/>
  <c r="I24" i="14"/>
  <c r="I25" i="14"/>
  <c r="E15" i="14"/>
  <c r="E16" i="14"/>
  <c r="E17" i="14"/>
  <c r="E18" i="14"/>
  <c r="E19" i="14"/>
  <c r="E20" i="14"/>
  <c r="E21" i="14"/>
  <c r="E22" i="14"/>
  <c r="E23" i="14"/>
  <c r="E24" i="14"/>
  <c r="E25" i="14"/>
  <c r="U14" i="14"/>
  <c r="S14" i="14"/>
  <c r="Q14" i="14"/>
  <c r="O14" i="14"/>
  <c r="M14" i="14"/>
  <c r="K14" i="14"/>
  <c r="I14" i="14"/>
  <c r="AS37" i="15"/>
  <c r="AK37" i="15"/>
  <c r="AI37" i="15"/>
  <c r="AQ37" i="15" s="1"/>
  <c r="AG37" i="15"/>
  <c r="AE37" i="15"/>
  <c r="AC37" i="15"/>
  <c r="AA37" i="15"/>
  <c r="Y37" i="15"/>
  <c r="W37" i="15"/>
  <c r="U37" i="15"/>
  <c r="S37" i="15"/>
  <c r="Q37" i="15"/>
  <c r="O37" i="15"/>
  <c r="M37" i="15"/>
  <c r="K37" i="15"/>
  <c r="I37" i="15"/>
  <c r="E37" i="15"/>
  <c r="AS36" i="15"/>
  <c r="AK36" i="15"/>
  <c r="AI36" i="15"/>
  <c r="AQ36" i="15" s="1"/>
  <c r="AG36" i="15"/>
  <c r="AE36" i="15"/>
  <c r="AC36" i="15"/>
  <c r="AA36" i="15"/>
  <c r="Y36" i="15"/>
  <c r="W36" i="15"/>
  <c r="U36" i="15"/>
  <c r="S36" i="15"/>
  <c r="Q36" i="15"/>
  <c r="O36" i="15"/>
  <c r="M36" i="15"/>
  <c r="K36" i="15"/>
  <c r="I36" i="15"/>
  <c r="E36" i="15"/>
  <c r="AS35" i="15"/>
  <c r="AK35" i="15"/>
  <c r="AI35" i="15"/>
  <c r="AQ35" i="15" s="1"/>
  <c r="AG35" i="15"/>
  <c r="AE35" i="15"/>
  <c r="AC35" i="15"/>
  <c r="AA35" i="15"/>
  <c r="Y35" i="15"/>
  <c r="W35" i="15"/>
  <c r="U35" i="15"/>
  <c r="S35" i="15"/>
  <c r="Q35" i="15"/>
  <c r="O35" i="15"/>
  <c r="M35" i="15"/>
  <c r="K35" i="15"/>
  <c r="I35" i="15"/>
  <c r="E35" i="15"/>
  <c r="AS34" i="15"/>
  <c r="AK34" i="15"/>
  <c r="AI34" i="15"/>
  <c r="AQ34" i="15" s="1"/>
  <c r="AG34" i="15"/>
  <c r="AE34" i="15"/>
  <c r="AC34" i="15"/>
  <c r="AA34" i="15"/>
  <c r="Y34" i="15"/>
  <c r="W34" i="15"/>
  <c r="U34" i="15"/>
  <c r="S34" i="15"/>
  <c r="Q34" i="15"/>
  <c r="O34" i="15"/>
  <c r="M34" i="15"/>
  <c r="K34" i="15"/>
  <c r="I34" i="15"/>
  <c r="E34" i="15"/>
  <c r="AS33" i="15"/>
  <c r="AK33" i="15"/>
  <c r="AI33" i="15"/>
  <c r="AQ33" i="15" s="1"/>
  <c r="AG33" i="15"/>
  <c r="AE33" i="15"/>
  <c r="AC33" i="15"/>
  <c r="AA33" i="15"/>
  <c r="Y33" i="15"/>
  <c r="W33" i="15"/>
  <c r="U33" i="15"/>
  <c r="S33" i="15"/>
  <c r="Q33" i="15"/>
  <c r="O33" i="15"/>
  <c r="M33" i="15"/>
  <c r="K33" i="15"/>
  <c r="I33" i="15"/>
  <c r="E33" i="15"/>
  <c r="AS32" i="15"/>
  <c r="AK32" i="15"/>
  <c r="AI32" i="15"/>
  <c r="AQ32" i="15" s="1"/>
  <c r="AG32" i="15"/>
  <c r="AE32" i="15"/>
  <c r="AC32" i="15"/>
  <c r="AA32" i="15"/>
  <c r="Y32" i="15"/>
  <c r="W32" i="15"/>
  <c r="U32" i="15"/>
  <c r="S32" i="15"/>
  <c r="Q32" i="15"/>
  <c r="O32" i="15"/>
  <c r="M32" i="15"/>
  <c r="K32" i="15"/>
  <c r="I32" i="15"/>
  <c r="E32" i="15"/>
  <c r="AS31" i="15"/>
  <c r="AK31" i="15"/>
  <c r="AI31" i="15"/>
  <c r="AQ31" i="15" s="1"/>
  <c r="AG31" i="15"/>
  <c r="AE31" i="15"/>
  <c r="AC31" i="15"/>
  <c r="AA31" i="15"/>
  <c r="Y31" i="15"/>
  <c r="W31" i="15"/>
  <c r="U31" i="15"/>
  <c r="S31" i="15"/>
  <c r="Q31" i="15"/>
  <c r="O31" i="15"/>
  <c r="M31" i="15"/>
  <c r="K31" i="15"/>
  <c r="I31" i="15"/>
  <c r="E31" i="15"/>
  <c r="AS30" i="15"/>
  <c r="AK30" i="15"/>
  <c r="AI30" i="15"/>
  <c r="AQ30" i="15" s="1"/>
  <c r="AG30" i="15"/>
  <c r="AE30" i="15"/>
  <c r="AC30" i="15"/>
  <c r="AA30" i="15"/>
  <c r="Y30" i="15"/>
  <c r="W30" i="15"/>
  <c r="U30" i="15"/>
  <c r="S30" i="15"/>
  <c r="Q30" i="15"/>
  <c r="O30" i="15"/>
  <c r="M30" i="15"/>
  <c r="K30" i="15"/>
  <c r="I30" i="15"/>
  <c r="E30" i="15"/>
  <c r="AS29" i="15"/>
  <c r="AK29" i="15"/>
  <c r="AI29" i="15"/>
  <c r="AQ29" i="15" s="1"/>
  <c r="AG29" i="15"/>
  <c r="AE29" i="15"/>
  <c r="AC29" i="15"/>
  <c r="AA29" i="15"/>
  <c r="Y29" i="15"/>
  <c r="W29" i="15"/>
  <c r="U29" i="15"/>
  <c r="S29" i="15"/>
  <c r="Q29" i="15"/>
  <c r="O29" i="15"/>
  <c r="M29" i="15"/>
  <c r="K29" i="15"/>
  <c r="I29" i="15"/>
  <c r="E29" i="15"/>
  <c r="AS28" i="15"/>
  <c r="AK28" i="15"/>
  <c r="AI28" i="15"/>
  <c r="AQ28" i="15" s="1"/>
  <c r="AG28" i="15"/>
  <c r="AE28" i="15"/>
  <c r="AC28" i="15"/>
  <c r="AA28" i="15"/>
  <c r="Y28" i="15"/>
  <c r="W28" i="15"/>
  <c r="U28" i="15"/>
  <c r="S28" i="15"/>
  <c r="Q28" i="15"/>
  <c r="O28" i="15"/>
  <c r="M28" i="15"/>
  <c r="K28" i="15"/>
  <c r="I28" i="15"/>
  <c r="E28" i="15"/>
  <c r="AS27" i="15"/>
  <c r="AK27" i="15"/>
  <c r="AI27" i="15"/>
  <c r="AQ27" i="15" s="1"/>
  <c r="AG27" i="15"/>
  <c r="AE27" i="15"/>
  <c r="AC27" i="15"/>
  <c r="AA27" i="15"/>
  <c r="Y27" i="15"/>
  <c r="W27" i="15"/>
  <c r="U27" i="15"/>
  <c r="S27" i="15"/>
  <c r="Q27" i="15"/>
  <c r="O27" i="15"/>
  <c r="M27" i="15"/>
  <c r="K27" i="15"/>
  <c r="I27" i="15"/>
  <c r="E27" i="15"/>
  <c r="AS26" i="15"/>
  <c r="AK26" i="15"/>
  <c r="AI26" i="15"/>
  <c r="AQ26" i="15" s="1"/>
  <c r="AG26" i="15"/>
  <c r="AE26" i="15"/>
  <c r="AC26" i="15"/>
  <c r="AA26" i="15"/>
  <c r="Y26" i="15"/>
  <c r="W26" i="15"/>
  <c r="U26" i="15"/>
  <c r="S26" i="15"/>
  <c r="Q26" i="15"/>
  <c r="O26" i="15"/>
  <c r="M26" i="15"/>
  <c r="K26" i="15"/>
  <c r="I26" i="15"/>
  <c r="E26" i="15"/>
  <c r="AS25" i="15"/>
  <c r="AK25" i="15"/>
  <c r="AI25" i="15"/>
  <c r="AQ25" i="15" s="1"/>
  <c r="AG25" i="15"/>
  <c r="AE25" i="15"/>
  <c r="AC25" i="15"/>
  <c r="AA25" i="15"/>
  <c r="Y25" i="15"/>
  <c r="W25" i="15"/>
  <c r="U25" i="15"/>
  <c r="S25" i="15"/>
  <c r="Q25" i="15"/>
  <c r="O25" i="15"/>
  <c r="M25" i="15"/>
  <c r="K25" i="15"/>
  <c r="I25" i="15"/>
  <c r="E25" i="15"/>
  <c r="AS24" i="15"/>
  <c r="AK24" i="15"/>
  <c r="AI24" i="15"/>
  <c r="AQ24" i="15" s="1"/>
  <c r="AG24" i="15"/>
  <c r="AE24" i="15"/>
  <c r="AC24" i="15"/>
  <c r="AA24" i="15"/>
  <c r="Y24" i="15"/>
  <c r="W24" i="15"/>
  <c r="U24" i="15"/>
  <c r="S24" i="15"/>
  <c r="Q24" i="15"/>
  <c r="O24" i="15"/>
  <c r="M24" i="15"/>
  <c r="K24" i="15"/>
  <c r="I24" i="15"/>
  <c r="E24" i="15"/>
  <c r="AS23" i="15"/>
  <c r="AK23" i="15"/>
  <c r="AI23" i="15"/>
  <c r="AQ23" i="15" s="1"/>
  <c r="AG23" i="15"/>
  <c r="AE23" i="15"/>
  <c r="AC23" i="15"/>
  <c r="AA23" i="15"/>
  <c r="Y23" i="15"/>
  <c r="W23" i="15"/>
  <c r="U23" i="15"/>
  <c r="S23" i="15"/>
  <c r="Q23" i="15"/>
  <c r="O23" i="15"/>
  <c r="M23" i="15"/>
  <c r="K23" i="15"/>
  <c r="I23" i="15"/>
  <c r="E23" i="15"/>
  <c r="AS22" i="15"/>
  <c r="AK22" i="15"/>
  <c r="AI22" i="15"/>
  <c r="AQ22" i="15" s="1"/>
  <c r="AG22" i="15"/>
  <c r="AE22" i="15"/>
  <c r="AC22" i="15"/>
  <c r="AA22" i="15"/>
  <c r="Y22" i="15"/>
  <c r="W22" i="15"/>
  <c r="U22" i="15"/>
  <c r="S22" i="15"/>
  <c r="Q22" i="15"/>
  <c r="O22" i="15"/>
  <c r="M22" i="15"/>
  <c r="K22" i="15"/>
  <c r="I22" i="15"/>
  <c r="E22" i="15"/>
  <c r="AS21" i="15"/>
  <c r="AK21" i="15"/>
  <c r="AI21" i="15"/>
  <c r="AQ21" i="15" s="1"/>
  <c r="AG21" i="15"/>
  <c r="AE21" i="15"/>
  <c r="AC21" i="15"/>
  <c r="AA21" i="15"/>
  <c r="Y21" i="15"/>
  <c r="W21" i="15"/>
  <c r="U21" i="15"/>
  <c r="S21" i="15"/>
  <c r="Q21" i="15"/>
  <c r="O21" i="15"/>
  <c r="M21" i="15"/>
  <c r="K21" i="15"/>
  <c r="I21" i="15"/>
  <c r="E21" i="15"/>
  <c r="AS20" i="15"/>
  <c r="AK20" i="15"/>
  <c r="AI20" i="15"/>
  <c r="AQ20" i="15" s="1"/>
  <c r="AG20" i="15"/>
  <c r="AE20" i="15"/>
  <c r="AC20" i="15"/>
  <c r="AA20" i="15"/>
  <c r="Y20" i="15"/>
  <c r="W20" i="15"/>
  <c r="U20" i="15"/>
  <c r="S20" i="15"/>
  <c r="Q20" i="15"/>
  <c r="O20" i="15"/>
  <c r="M20" i="15"/>
  <c r="K20" i="15"/>
  <c r="I20" i="15"/>
  <c r="E20" i="15"/>
  <c r="AS19" i="15"/>
  <c r="AK19" i="15"/>
  <c r="AI19" i="15"/>
  <c r="AQ19" i="15" s="1"/>
  <c r="AG19" i="15"/>
  <c r="AE19" i="15"/>
  <c r="AC19" i="15"/>
  <c r="AA19" i="15"/>
  <c r="Y19" i="15"/>
  <c r="W19" i="15"/>
  <c r="U19" i="15"/>
  <c r="S19" i="15"/>
  <c r="Q19" i="15"/>
  <c r="O19" i="15"/>
  <c r="M19" i="15"/>
  <c r="K19" i="15"/>
  <c r="I19" i="15"/>
  <c r="E19" i="15"/>
  <c r="AS18" i="15"/>
  <c r="AK18" i="15"/>
  <c r="AI18" i="15"/>
  <c r="AQ18" i="15" s="1"/>
  <c r="AG18" i="15"/>
  <c r="AE18" i="15"/>
  <c r="AC18" i="15"/>
  <c r="AA18" i="15"/>
  <c r="Y18" i="15"/>
  <c r="W18" i="15"/>
  <c r="U18" i="15"/>
  <c r="S18" i="15"/>
  <c r="Q18" i="15"/>
  <c r="O18" i="15"/>
  <c r="M18" i="15"/>
  <c r="K18" i="15"/>
  <c r="I18" i="15"/>
  <c r="AS17" i="15"/>
  <c r="AK17" i="15"/>
  <c r="AI17" i="15"/>
  <c r="AQ17" i="15" s="1"/>
  <c r="AG17" i="15"/>
  <c r="AE17" i="15"/>
  <c r="AC17" i="15"/>
  <c r="AA17" i="15"/>
  <c r="Y17" i="15"/>
  <c r="W17" i="15"/>
  <c r="U17" i="15"/>
  <c r="S17" i="15"/>
  <c r="Q17" i="15"/>
  <c r="O17" i="15"/>
  <c r="M17" i="15"/>
  <c r="K17" i="15"/>
  <c r="I17" i="15"/>
  <c r="AS16" i="15"/>
  <c r="AK16" i="15"/>
  <c r="AI16" i="15"/>
  <c r="AQ16" i="15" s="1"/>
  <c r="AG16" i="15"/>
  <c r="AE16" i="15"/>
  <c r="AC16" i="15"/>
  <c r="AA16" i="15"/>
  <c r="Y16" i="15"/>
  <c r="W16" i="15"/>
  <c r="U16" i="15"/>
  <c r="S16" i="15"/>
  <c r="Q16" i="15"/>
  <c r="O16" i="15"/>
  <c r="M16" i="15"/>
  <c r="K16" i="15"/>
  <c r="I16" i="15"/>
  <c r="E16" i="15"/>
  <c r="AS15" i="15"/>
  <c r="AK15" i="15"/>
  <c r="AI15" i="15"/>
  <c r="AQ15" i="15" s="1"/>
  <c r="AG15" i="15"/>
  <c r="AE15" i="15"/>
  <c r="AC15" i="15"/>
  <c r="AA15" i="15"/>
  <c r="Y15" i="15"/>
  <c r="W15" i="15"/>
  <c r="U15" i="15"/>
  <c r="S15" i="15"/>
  <c r="Q15" i="15"/>
  <c r="O15" i="15"/>
  <c r="M15" i="15"/>
  <c r="K15" i="15"/>
  <c r="I15" i="15"/>
  <c r="E15" i="15"/>
  <c r="AS14" i="15"/>
  <c r="AK14" i="15"/>
  <c r="AI14" i="15"/>
  <c r="AQ14" i="15" s="1"/>
  <c r="AG14" i="15"/>
  <c r="AE14" i="15"/>
  <c r="AC14" i="15"/>
  <c r="AA14" i="15"/>
  <c r="Y14" i="15"/>
  <c r="W14" i="15"/>
  <c r="U14" i="15"/>
  <c r="S14" i="15"/>
  <c r="Q14" i="15"/>
  <c r="O14" i="15"/>
  <c r="M14" i="15"/>
  <c r="K14" i="15"/>
  <c r="I14" i="15"/>
  <c r="E14" i="15"/>
  <c r="AS13" i="15"/>
  <c r="AK13" i="15"/>
  <c r="AG13" i="15"/>
  <c r="AC13" i="15"/>
  <c r="Y13" i="15"/>
  <c r="W13" i="15"/>
  <c r="U13" i="15"/>
  <c r="S13" i="15"/>
  <c r="Q13" i="15"/>
  <c r="O13" i="15"/>
  <c r="M13" i="15"/>
  <c r="K13" i="15"/>
  <c r="I13" i="15"/>
  <c r="E13" i="15"/>
  <c r="AS12" i="15"/>
  <c r="AK12" i="15"/>
  <c r="AG12" i="15"/>
  <c r="AC12" i="15"/>
  <c r="Y12" i="15"/>
  <c r="W12" i="15"/>
  <c r="U12" i="15"/>
  <c r="S12" i="15"/>
  <c r="Q12" i="15"/>
  <c r="O12" i="15"/>
  <c r="M12" i="15"/>
  <c r="K12" i="15"/>
  <c r="I12" i="15"/>
  <c r="E12" i="15"/>
  <c r="AS11" i="15"/>
  <c r="AK11" i="15"/>
  <c r="AG11" i="15"/>
  <c r="AC11" i="15"/>
  <c r="Y11" i="15"/>
  <c r="W11" i="15"/>
  <c r="U11" i="15"/>
  <c r="S11" i="15"/>
  <c r="Q11" i="15"/>
  <c r="O11" i="15"/>
  <c r="M11" i="15"/>
  <c r="K11" i="15"/>
  <c r="I11" i="15"/>
  <c r="E11" i="15"/>
  <c r="M10" i="15"/>
  <c r="W10" i="15"/>
  <c r="U10" i="15"/>
  <c r="S10" i="15"/>
  <c r="Q10" i="15"/>
  <c r="O10" i="15"/>
  <c r="K10" i="15"/>
  <c r="AS10" i="15"/>
  <c r="AK10" i="15"/>
  <c r="AG10" i="15"/>
  <c r="AC10" i="15"/>
  <c r="Y10" i="15"/>
  <c r="I10" i="15"/>
  <c r="E10" i="15"/>
  <c r="W35" i="14" l="1"/>
  <c r="AA12" i="15"/>
  <c r="AA10" i="15"/>
  <c r="AA13" i="15"/>
  <c r="AA11" i="15"/>
  <c r="AM38" i="15"/>
  <c r="AV5" i="15"/>
  <c r="U42" i="14"/>
  <c r="Q42" i="14"/>
  <c r="AM35" i="14"/>
  <c r="AV5" i="14"/>
  <c r="AA38" i="15" l="1"/>
  <c r="Q44" i="15" s="1"/>
  <c r="AI11" i="15"/>
  <c r="AQ11" i="15" s="1"/>
  <c r="AE11" i="15"/>
  <c r="AE12" i="15"/>
  <c r="AI12" i="15"/>
  <c r="AQ12" i="15" s="1"/>
  <c r="AI10" i="15"/>
  <c r="AQ10" i="15" s="1"/>
  <c r="AE10" i="15"/>
  <c r="AE13" i="15"/>
  <c r="AI13" i="15"/>
  <c r="AQ13" i="15" s="1"/>
  <c r="AA35" i="14"/>
  <c r="W38" i="15"/>
  <c r="M44" i="15" s="1"/>
  <c r="O38" i="15"/>
  <c r="K38" i="15"/>
  <c r="S38" i="15"/>
  <c r="U38" i="15"/>
  <c r="K35" i="14"/>
  <c r="AQ39" i="14"/>
  <c r="O35" i="14"/>
  <c r="S35" i="14"/>
  <c r="U35" i="14"/>
  <c r="AM26" i="12"/>
  <c r="AE26" i="12"/>
  <c r="AA26" i="12"/>
  <c r="AI25" i="12"/>
  <c r="AQ25" i="12" s="1"/>
  <c r="W25" i="12"/>
  <c r="U25" i="12"/>
  <c r="S25" i="12"/>
  <c r="O25" i="12"/>
  <c r="K25" i="12"/>
  <c r="I25" i="12"/>
  <c r="E25" i="12"/>
  <c r="AI24" i="12"/>
  <c r="AQ24" i="12" s="1"/>
  <c r="W24" i="12"/>
  <c r="U24" i="12"/>
  <c r="S24" i="12"/>
  <c r="O24" i="12"/>
  <c r="K24" i="12"/>
  <c r="I24" i="12"/>
  <c r="E24" i="12"/>
  <c r="AI23" i="12"/>
  <c r="AQ23" i="12" s="1"/>
  <c r="W23" i="12"/>
  <c r="U23" i="12"/>
  <c r="S23" i="12"/>
  <c r="O23" i="12"/>
  <c r="K23" i="12"/>
  <c r="I23" i="12"/>
  <c r="E23" i="12"/>
  <c r="AI22" i="12"/>
  <c r="AQ22" i="12" s="1"/>
  <c r="W22" i="12"/>
  <c r="U22" i="12"/>
  <c r="S22" i="12"/>
  <c r="O22" i="12"/>
  <c r="K22" i="12"/>
  <c r="I22" i="12"/>
  <c r="E22" i="12"/>
  <c r="AI21" i="12"/>
  <c r="S21" i="12"/>
  <c r="O21" i="12"/>
  <c r="K21" i="12"/>
  <c r="I21" i="12"/>
  <c r="E21" i="12"/>
  <c r="AM15" i="12"/>
  <c r="AE15" i="12"/>
  <c r="U33" i="12" s="1"/>
  <c r="AA15" i="12"/>
  <c r="Q33" i="12" s="1"/>
  <c r="AI14" i="12"/>
  <c r="AQ14" i="12" s="1"/>
  <c r="W14" i="12"/>
  <c r="U14" i="12"/>
  <c r="S14" i="12"/>
  <c r="O14" i="12"/>
  <c r="K14" i="12"/>
  <c r="I14" i="12"/>
  <c r="E14" i="12"/>
  <c r="AI13" i="12"/>
  <c r="AQ13" i="12" s="1"/>
  <c r="W13" i="12"/>
  <c r="U13" i="12"/>
  <c r="S13" i="12"/>
  <c r="O13" i="12"/>
  <c r="K13" i="12"/>
  <c r="I13" i="12"/>
  <c r="E13" i="12"/>
  <c r="AI12" i="12"/>
  <c r="AQ12" i="12" s="1"/>
  <c r="W12" i="12"/>
  <c r="U12" i="12"/>
  <c r="S12" i="12"/>
  <c r="O12" i="12"/>
  <c r="K12" i="12"/>
  <c r="I12" i="12"/>
  <c r="E12" i="12"/>
  <c r="AI11" i="12"/>
  <c r="AQ11" i="12" s="1"/>
  <c r="W11" i="12"/>
  <c r="S11" i="12"/>
  <c r="O11" i="12"/>
  <c r="K11" i="12"/>
  <c r="I11" i="12"/>
  <c r="E11" i="12"/>
  <c r="AI10" i="12"/>
  <c r="AQ10" i="12" s="1"/>
  <c r="W10" i="12"/>
  <c r="U10" i="12"/>
  <c r="S10" i="12"/>
  <c r="O10" i="12"/>
  <c r="K10" i="12"/>
  <c r="I10" i="12"/>
  <c r="E10" i="12"/>
  <c r="AV5" i="12"/>
  <c r="Q42" i="15" l="1"/>
  <c r="Q45" i="15"/>
  <c r="M42" i="15"/>
  <c r="AE35" i="14"/>
  <c r="AU35" i="14"/>
  <c r="AL39" i="14" s="1"/>
  <c r="AL40" i="14" s="1"/>
  <c r="AL42" i="14" s="1"/>
  <c r="AI35" i="14"/>
  <c r="AQ35" i="14"/>
  <c r="M45" i="15"/>
  <c r="K26" i="12"/>
  <c r="O26" i="12"/>
  <c r="K15" i="12"/>
  <c r="W15" i="12"/>
  <c r="M32" i="12" s="1"/>
  <c r="AI26" i="12"/>
  <c r="S26" i="12"/>
  <c r="AI15" i="12"/>
  <c r="Q30" i="12"/>
  <c r="O15" i="12"/>
  <c r="S15" i="12"/>
  <c r="AQ15" i="12"/>
  <c r="Q31" i="12"/>
  <c r="AQ21" i="12"/>
  <c r="AQ26" i="12" s="1"/>
  <c r="U31" i="12"/>
  <c r="Q32" i="12"/>
  <c r="U32" i="12"/>
  <c r="U30" i="12"/>
  <c r="Q21" i="12"/>
  <c r="M21" i="12"/>
  <c r="U44" i="15" l="1"/>
  <c r="U42" i="15"/>
  <c r="U45" i="15"/>
  <c r="U21" i="12"/>
  <c r="U26" i="12" s="1"/>
  <c r="AE38" i="15"/>
  <c r="AQ38" i="15"/>
  <c r="AI38" i="15"/>
  <c r="Q10" i="12"/>
  <c r="M10" i="12"/>
  <c r="U11" i="12"/>
  <c r="U15" i="12" s="1"/>
  <c r="M33" i="12"/>
  <c r="M31" i="12"/>
  <c r="M30" i="12"/>
  <c r="M23" i="12"/>
  <c r="M12" i="12"/>
  <c r="M13" i="12"/>
  <c r="M24" i="12"/>
  <c r="M25" i="12"/>
  <c r="M14" i="12"/>
  <c r="Q11" i="12"/>
  <c r="Q25" i="12"/>
  <c r="Q13" i="12"/>
  <c r="Q22" i="12"/>
  <c r="Q23" i="12"/>
  <c r="Q12" i="12"/>
  <c r="Q24" i="12"/>
  <c r="Q14" i="12"/>
  <c r="M22" i="12"/>
  <c r="M11" i="12"/>
  <c r="W21" i="12" l="1"/>
  <c r="W26" i="12" s="1"/>
  <c r="M26" i="12"/>
  <c r="Q38" i="15"/>
  <c r="M38" i="15"/>
  <c r="M35" i="14"/>
  <c r="Q26" i="12"/>
  <c r="Q15" i="12"/>
  <c r="Q35" i="14"/>
  <c r="M15" i="12"/>
</calcChain>
</file>

<file path=xl/sharedStrings.xml><?xml version="1.0" encoding="utf-8"?>
<sst xmlns="http://schemas.openxmlformats.org/spreadsheetml/2006/main" count="1749" uniqueCount="484">
  <si>
    <t>호별</t>
  </si>
  <si>
    <t>부가세</t>
    <phoneticPr fontId="6" type="noConversion"/>
  </si>
  <si>
    <t>비고</t>
    <phoneticPr fontId="6" type="noConversion"/>
  </si>
  <si>
    <t>구분</t>
    <phoneticPr fontId="6" type="noConversion"/>
  </si>
  <si>
    <t>전용면적</t>
    <phoneticPr fontId="6" type="noConversion"/>
  </si>
  <si>
    <t>㎡</t>
    <phoneticPr fontId="6" type="noConversion"/>
  </si>
  <si>
    <t>평</t>
    <phoneticPr fontId="6" type="noConversion"/>
  </si>
  <si>
    <t>공용면적</t>
    <phoneticPr fontId="6" type="noConversion"/>
  </si>
  <si>
    <t>공급가액</t>
    <phoneticPr fontId="6" type="noConversion"/>
  </si>
  <si>
    <t>호실</t>
    <phoneticPr fontId="6" type="noConversion"/>
  </si>
  <si>
    <t>용도</t>
    <phoneticPr fontId="6" type="noConversion"/>
  </si>
  <si>
    <t>계약금</t>
    <phoneticPr fontId="6" type="noConversion"/>
  </si>
  <si>
    <t>납입금</t>
    <phoneticPr fontId="6" type="noConversion"/>
  </si>
  <si>
    <t>A</t>
    <phoneticPr fontId="6" type="noConversion"/>
  </si>
  <si>
    <t>면적</t>
    <phoneticPr fontId="6" type="noConversion"/>
  </si>
  <si>
    <t>분양면적</t>
    <phoneticPr fontId="6" type="noConversion"/>
  </si>
  <si>
    <t>총 분양가</t>
    <phoneticPr fontId="6" type="noConversion"/>
  </si>
  <si>
    <t>청약 납입금</t>
    <phoneticPr fontId="6" type="noConversion"/>
  </si>
  <si>
    <t>계약 납입금</t>
    <phoneticPr fontId="6" type="noConversion"/>
  </si>
  <si>
    <t>C</t>
    <phoneticPr fontId="6" type="noConversion"/>
  </si>
  <si>
    <t>B</t>
    <phoneticPr fontId="6" type="noConversion"/>
  </si>
  <si>
    <t>2. 임대호실 견적서</t>
    <phoneticPr fontId="6" type="noConversion"/>
  </si>
  <si>
    <t>1. 분양호실 견적서</t>
    <phoneticPr fontId="6" type="noConversion"/>
  </si>
  <si>
    <t>비율</t>
    <phoneticPr fontId="6" type="noConversion"/>
  </si>
  <si>
    <t>납부일자</t>
    <phoneticPr fontId="6" type="noConversion"/>
  </si>
  <si>
    <t>보증금</t>
    <phoneticPr fontId="6" type="noConversion"/>
  </si>
  <si>
    <t>임대가</t>
    <phoneticPr fontId="6" type="noConversion"/>
  </si>
  <si>
    <t>중도금</t>
    <phoneticPr fontId="6" type="noConversion"/>
  </si>
  <si>
    <t>잔금</t>
    <phoneticPr fontId="6" type="noConversion"/>
  </si>
  <si>
    <t>합계</t>
    <phoneticPr fontId="6" type="noConversion"/>
  </si>
  <si>
    <t>계약일</t>
    <phoneticPr fontId="6" type="noConversion"/>
  </si>
  <si>
    <t>약정일</t>
    <phoneticPr fontId="6" type="noConversion"/>
  </si>
  <si>
    <t>입주지정일</t>
    <phoneticPr fontId="6" type="noConversion"/>
  </si>
  <si>
    <t>-</t>
    <phoneticPr fontId="6" type="noConversion"/>
  </si>
  <si>
    <t>6. 계약시 구비서류</t>
    <phoneticPr fontId="6" type="noConversion"/>
  </si>
  <si>
    <t>5. 계약금 입금계좌</t>
    <phoneticPr fontId="6" type="noConversion"/>
  </si>
  <si>
    <t>은행명</t>
    <phoneticPr fontId="6" type="noConversion"/>
  </si>
  <si>
    <t>계좌번호</t>
    <phoneticPr fontId="6" type="noConversion"/>
  </si>
  <si>
    <t>예금주</t>
    <phoneticPr fontId="6" type="noConversion"/>
  </si>
  <si>
    <t>개인</t>
    <phoneticPr fontId="6" type="noConversion"/>
  </si>
  <si>
    <t>법인 사업자</t>
    <phoneticPr fontId="6" type="noConversion"/>
  </si>
  <si>
    <t>개인 사업자</t>
    <phoneticPr fontId="6" type="noConversion"/>
  </si>
  <si>
    <t>입금 표기 예시 (필독)</t>
    <phoneticPr fontId="6" type="noConversion"/>
  </si>
  <si>
    <t>호실+계약자명or상호명 = (예시) 101호 홍길동 / 101호 홍길동산업</t>
    <phoneticPr fontId="6" type="noConversion"/>
  </si>
  <si>
    <t>0000-00-000000</t>
    <phoneticPr fontId="6" type="noConversion"/>
  </si>
  <si>
    <t>계약보증금</t>
    <phoneticPr fontId="6" type="noConversion"/>
  </si>
  <si>
    <t>※ 계약금 입금 전 계좌번호 확인 후 담당자에게 연락하여 입금하시길 바랍니다.</t>
    <phoneticPr fontId="6" type="noConversion"/>
  </si>
  <si>
    <t>ㅇㅇ은행</t>
    <phoneticPr fontId="6" type="noConversion"/>
  </si>
  <si>
    <t>ㅇㅇㅇㅇㅇㅇ(주)</t>
    <phoneticPr fontId="6" type="noConversion"/>
  </si>
  <si>
    <t>※ 대리인 계약시: 상기 구비서류 외 위임장 1부, 대리인 신분증 필수</t>
    <phoneticPr fontId="6" type="noConversion"/>
  </si>
  <si>
    <t>작성일:</t>
    <phoneticPr fontId="6" type="noConversion"/>
  </si>
  <si>
    <t>[단위: 원]</t>
    <phoneticPr fontId="6" type="noConversion"/>
  </si>
  <si>
    <r>
      <rPr>
        <sz val="28"/>
        <color rgb="FF339966"/>
        <rFont val="KoPub돋움체 Bold"/>
        <family val="3"/>
        <charset val="129"/>
      </rPr>
      <t>정부수입인지 (사본제출, 원본 계약자 보관 필수)</t>
    </r>
    <r>
      <rPr>
        <sz val="28"/>
        <color rgb="FF000000"/>
        <rFont val="KoPub돋움체 Bold"/>
        <family val="3"/>
        <charset val="129"/>
      </rPr>
      <t xml:space="preserve">
인감증명서 3부, 주민등록등본 1부, 대표자 신분증 사본(복사), 개인인감도장</t>
    </r>
    <phoneticPr fontId="6" type="noConversion"/>
  </si>
  <si>
    <r>
      <rPr>
        <sz val="28"/>
        <color rgb="FF339966"/>
        <rFont val="KoPub돋움체 Bold"/>
        <family val="3"/>
        <charset val="129"/>
      </rPr>
      <t>정부수입인지 (사본제출, 원본 계약자 보관 필수)</t>
    </r>
    <r>
      <rPr>
        <sz val="28"/>
        <color rgb="FF000000"/>
        <rFont val="KoPub돋움체 Bold"/>
        <family val="3"/>
        <charset val="129"/>
      </rPr>
      <t xml:space="preserve">
인감증명서 3부, 주민등록등본 1부, 신분증 사본(복사), 개인인감도장</t>
    </r>
    <phoneticPr fontId="6" type="noConversion"/>
  </si>
  <si>
    <r>
      <rPr>
        <sz val="28"/>
        <color rgb="FF339966"/>
        <rFont val="KoPub돋움체 Bold"/>
        <family val="3"/>
        <charset val="129"/>
      </rPr>
      <t>정부수입인지 (사본제출, 원본 계약자 보관 필수)</t>
    </r>
    <r>
      <rPr>
        <sz val="28"/>
        <color rgb="FF000000"/>
        <rFont val="KoPub돋움체 Bold"/>
        <family val="3"/>
        <charset val="129"/>
      </rPr>
      <t xml:space="preserve">
법인인감증명서 3부, 법인등기부등본 1부, 대표자 신분증 사본(복사), 사업자등록증 1부, 법인 인감도장</t>
    </r>
    <phoneticPr fontId="6" type="noConversion"/>
  </si>
  <si>
    <t>4. 납부조건 (임대호실에 해당)</t>
    <phoneticPr fontId="6" type="noConversion"/>
  </si>
  <si>
    <t>3. 납부조건 (분양호실에 해당)</t>
    <phoneticPr fontId="6" type="noConversion"/>
  </si>
  <si>
    <t>공급가액
(VAT 별도)</t>
    <phoneticPr fontId="6" type="noConversion"/>
  </si>
  <si>
    <t>총 분양가
(VAT 포함)</t>
    <phoneticPr fontId="6" type="noConversion"/>
  </si>
  <si>
    <t>-</t>
    <phoneticPr fontId="6" type="noConversion"/>
  </si>
  <si>
    <t>*필독사항</t>
    <phoneticPr fontId="6" type="noConversion"/>
  </si>
  <si>
    <t>1. 호실 외 면적 및 금액, 용도 납부일자 비율등의 수치를 변경하지 말 것.</t>
    <phoneticPr fontId="6" type="noConversion"/>
  </si>
  <si>
    <t>2. 견적서의 내용 중 특이사항이나 문제가 될 내용이 있을 시엔 유케이아이디로 문의 부탁드립니다.</t>
    <phoneticPr fontId="6" type="noConversion"/>
  </si>
  <si>
    <t>1. 임대호실 견적서</t>
    <phoneticPr fontId="6" type="noConversion"/>
  </si>
  <si>
    <t>2. 납부조건 (분양호실에 해당)</t>
    <phoneticPr fontId="6" type="noConversion"/>
  </si>
  <si>
    <t>3. 납부조건 (임대호실에 해당)</t>
    <phoneticPr fontId="6" type="noConversion"/>
  </si>
  <si>
    <t>4. 계약금 입금계좌</t>
    <phoneticPr fontId="6" type="noConversion"/>
  </si>
  <si>
    <t>5. 계약시 구비서류</t>
    <phoneticPr fontId="6" type="noConversion"/>
  </si>
  <si>
    <t>월임대료
(VAT 별도)</t>
    <phoneticPr fontId="6" type="noConversion"/>
  </si>
  <si>
    <t>총 월임대료
(VAT 포함)</t>
    <phoneticPr fontId="6" type="noConversion"/>
  </si>
  <si>
    <t xml:space="preserve"> -</t>
    <phoneticPr fontId="6" type="noConversion"/>
  </si>
  <si>
    <t>해당없음</t>
    <phoneticPr fontId="6" type="noConversion"/>
  </si>
  <si>
    <t>총 보증금</t>
    <phoneticPr fontId="6" type="noConversion"/>
  </si>
  <si>
    <t>보증금(계약금)</t>
    <phoneticPr fontId="6" type="noConversion"/>
  </si>
  <si>
    <t>※ 대리인 계약시: 상기 구비서류 외 위임장 1부, 계약자 인감증명서(위임용) 2부, 대리인 신분증 필수</t>
    <phoneticPr fontId="6" type="noConversion"/>
  </si>
  <si>
    <t>신한자산신탁 주식회사</t>
    <phoneticPr fontId="6" type="noConversion"/>
  </si>
  <si>
    <t>신한자산신탁주식회사</t>
    <phoneticPr fontId="6" type="noConversion"/>
  </si>
  <si>
    <t>평당가</t>
  </si>
  <si>
    <t>월임대료</t>
  </si>
  <si>
    <t>공급가</t>
  </si>
  <si>
    <t>BT-101</t>
  </si>
  <si>
    <t>BT-102</t>
  </si>
  <si>
    <t>BT-103</t>
  </si>
  <si>
    <t>BT-104</t>
  </si>
  <si>
    <t>BT-105</t>
  </si>
  <si>
    <t>BT-107</t>
  </si>
  <si>
    <t>BT-108</t>
  </si>
  <si>
    <t>BT-109</t>
  </si>
  <si>
    <t>BT-110</t>
  </si>
  <si>
    <t>IT-101</t>
  </si>
  <si>
    <t>IT-102</t>
  </si>
  <si>
    <t>IT-103</t>
  </si>
  <si>
    <t>IT-104</t>
  </si>
  <si>
    <t>IT-105</t>
  </si>
  <si>
    <t>IT-106</t>
  </si>
  <si>
    <t>IT-107</t>
  </si>
  <si>
    <t>IT-108</t>
  </si>
  <si>
    <t>IT-109</t>
  </si>
  <si>
    <t>BT-201</t>
  </si>
  <si>
    <t>BT-202</t>
  </si>
  <si>
    <t>BT-204</t>
  </si>
  <si>
    <t>BT-206</t>
  </si>
  <si>
    <t>BT-207</t>
  </si>
  <si>
    <t>BT-208</t>
  </si>
  <si>
    <t>BT-209</t>
  </si>
  <si>
    <t>BT-211</t>
  </si>
  <si>
    <t>BT-212</t>
  </si>
  <si>
    <t>BT-214</t>
  </si>
  <si>
    <t>BT-215</t>
  </si>
  <si>
    <t>BT-216</t>
  </si>
  <si>
    <t>BT-217</t>
  </si>
  <si>
    <t>BT-218</t>
  </si>
  <si>
    <t>BT-219</t>
  </si>
  <si>
    <t>BT-220</t>
  </si>
  <si>
    <t>BT-221</t>
  </si>
  <si>
    <t>BT-231</t>
  </si>
  <si>
    <t>IT-201</t>
  </si>
  <si>
    <t>IT-202</t>
  </si>
  <si>
    <t>IT-203</t>
  </si>
  <si>
    <t>IT-204</t>
  </si>
  <si>
    <t>IT-205</t>
  </si>
  <si>
    <t>IT-206</t>
  </si>
  <si>
    <t>IT-207</t>
  </si>
  <si>
    <t>IT-208</t>
  </si>
  <si>
    <t>IT-209</t>
  </si>
  <si>
    <t>IT-210</t>
  </si>
  <si>
    <t>IT-211</t>
  </si>
  <si>
    <t>BT-203</t>
  </si>
  <si>
    <t>BT-205</t>
  </si>
  <si>
    <t>BT-210</t>
  </si>
  <si>
    <t>BT-213</t>
  </si>
  <si>
    <t>BT-222</t>
  </si>
  <si>
    <t>BT-223</t>
  </si>
  <si>
    <t>BT-224</t>
  </si>
  <si>
    <t>BT-225</t>
  </si>
  <si>
    <t>BT-226</t>
  </si>
  <si>
    <t>BT-227</t>
  </si>
  <si>
    <t>BT-228</t>
  </si>
  <si>
    <t>BT-229</t>
  </si>
  <si>
    <t>BT-230</t>
  </si>
  <si>
    <t>IT-212</t>
  </si>
  <si>
    <t>IT-213</t>
  </si>
  <si>
    <t>BT-301</t>
  </si>
  <si>
    <t>BT-302</t>
  </si>
  <si>
    <t>BT-303</t>
  </si>
  <si>
    <t>BT-304</t>
  </si>
  <si>
    <t>BT-306</t>
  </si>
  <si>
    <t>BT-307</t>
  </si>
  <si>
    <t>BT-308</t>
  </si>
  <si>
    <t>BT-309</t>
  </si>
  <si>
    <t>BT-311</t>
  </si>
  <si>
    <t>BT-312</t>
  </si>
  <si>
    <t>BT-314</t>
  </si>
  <si>
    <t>BT-315</t>
  </si>
  <si>
    <t>BT-316</t>
  </si>
  <si>
    <t>BT-317</t>
  </si>
  <si>
    <t>BT-318</t>
  </si>
  <si>
    <t>BT-319</t>
  </si>
  <si>
    <t>BT-320</t>
  </si>
  <si>
    <t>BT-321</t>
  </si>
  <si>
    <t>BT-322</t>
  </si>
  <si>
    <t>BT-323</t>
  </si>
  <si>
    <t>BT-324</t>
  </si>
  <si>
    <t>BT-325</t>
  </si>
  <si>
    <t>BT-326</t>
  </si>
  <si>
    <t>IT-303</t>
  </si>
  <si>
    <t>IT-304</t>
  </si>
  <si>
    <t>IT-305</t>
  </si>
  <si>
    <t>IT-306</t>
  </si>
  <si>
    <t>IT-307</t>
  </si>
  <si>
    <t>BT-305</t>
  </si>
  <si>
    <t>BT-310</t>
  </si>
  <si>
    <t>BT-313</t>
  </si>
  <si>
    <t>BT-327</t>
  </si>
  <si>
    <t>BT-328</t>
  </si>
  <si>
    <t>BT-329</t>
  </si>
  <si>
    <t>BT-330</t>
  </si>
  <si>
    <t>BT-331</t>
  </si>
  <si>
    <t>BT-332</t>
  </si>
  <si>
    <t>BT-333</t>
  </si>
  <si>
    <t>BT-334</t>
  </si>
  <si>
    <t>IT-308</t>
  </si>
  <si>
    <t>IT-309</t>
  </si>
  <si>
    <t>BT-402</t>
  </si>
  <si>
    <t>BT-404</t>
  </si>
  <si>
    <t>BT-406</t>
  </si>
  <si>
    <t>BT-407</t>
  </si>
  <si>
    <t>BT-408</t>
  </si>
  <si>
    <t>BT-409</t>
  </si>
  <si>
    <t>BT-411</t>
  </si>
  <si>
    <t>BT-412</t>
  </si>
  <si>
    <t>BT-413</t>
  </si>
  <si>
    <t>BT-414</t>
  </si>
  <si>
    <t>BT-415</t>
  </si>
  <si>
    <t>BT-416</t>
  </si>
  <si>
    <t>BT-417</t>
  </si>
  <si>
    <t>BT-418</t>
  </si>
  <si>
    <t>BT-419</t>
  </si>
  <si>
    <t>BT-420</t>
  </si>
  <si>
    <t>BT-421</t>
  </si>
  <si>
    <t>BT-401</t>
  </si>
  <si>
    <t>BT-403</t>
  </si>
  <si>
    <t>BT-405</t>
  </si>
  <si>
    <t>BT-410</t>
  </si>
  <si>
    <t>BT-501</t>
  </si>
  <si>
    <t>BT-502</t>
  </si>
  <si>
    <t>BT-503</t>
  </si>
  <si>
    <t>BT-504</t>
  </si>
  <si>
    <t>BT-505</t>
  </si>
  <si>
    <t>BT-506</t>
  </si>
  <si>
    <t>BT-507</t>
  </si>
  <si>
    <t>BT-508</t>
  </si>
  <si>
    <t>BT-509</t>
  </si>
  <si>
    <t>BT-510</t>
  </si>
  <si>
    <t>BT-511</t>
  </si>
  <si>
    <t>BT-512</t>
  </si>
  <si>
    <t>BT-513</t>
  </si>
  <si>
    <t>BT-514</t>
  </si>
  <si>
    <t>BT-515</t>
  </si>
  <si>
    <t>BT-516</t>
  </si>
  <si>
    <t>BT-517</t>
  </si>
  <si>
    <t>BT-518</t>
  </si>
  <si>
    <t>BT-519</t>
  </si>
  <si>
    <t>BT-520</t>
  </si>
  <si>
    <t>BT-521</t>
  </si>
  <si>
    <t>BT-522</t>
  </si>
  <si>
    <t>BT-601</t>
  </si>
  <si>
    <t>BT-602</t>
  </si>
  <si>
    <t>BT-603</t>
  </si>
  <si>
    <t>BT-604</t>
  </si>
  <si>
    <t>BT-605</t>
  </si>
  <si>
    <t>BT-606</t>
  </si>
  <si>
    <t>BT-607</t>
  </si>
  <si>
    <t>BT-608</t>
  </si>
  <si>
    <t>BT-609</t>
  </si>
  <si>
    <t>BT-610</t>
  </si>
  <si>
    <t>BT-611</t>
  </si>
  <si>
    <t>BT-612</t>
  </si>
  <si>
    <t>BT-613</t>
  </si>
  <si>
    <t>BT-614</t>
  </si>
  <si>
    <t>BT-615</t>
  </si>
  <si>
    <t>BT-616</t>
  </si>
  <si>
    <t>BT-617</t>
  </si>
  <si>
    <t>BT-618</t>
  </si>
  <si>
    <t>BT-619</t>
  </si>
  <si>
    <t>BT-620</t>
  </si>
  <si>
    <t>BT-621</t>
  </si>
  <si>
    <t>BT-701</t>
  </si>
  <si>
    <t>BT-702</t>
  </si>
  <si>
    <t>BT-703</t>
  </si>
  <si>
    <t>BT-704</t>
  </si>
  <si>
    <t>BT-705</t>
  </si>
  <si>
    <t>BT-706</t>
  </si>
  <si>
    <t>BT-707</t>
  </si>
  <si>
    <t>BT-708</t>
  </si>
  <si>
    <t>BT-709</t>
  </si>
  <si>
    <t>BT-710</t>
  </si>
  <si>
    <t>BT-711</t>
  </si>
  <si>
    <t>BT-712</t>
  </si>
  <si>
    <t>BT-713</t>
  </si>
  <si>
    <t>BT-714</t>
  </si>
  <si>
    <t>BT-715</t>
  </si>
  <si>
    <t>BT-716</t>
  </si>
  <si>
    <t>BT-717</t>
  </si>
  <si>
    <t>BT-718</t>
  </si>
  <si>
    <t>BT-719</t>
  </si>
  <si>
    <t>BT-720</t>
  </si>
  <si>
    <t>BT-721</t>
  </si>
  <si>
    <t>BT-801</t>
  </si>
  <si>
    <t>BT-802</t>
  </si>
  <si>
    <t>BT-803</t>
  </si>
  <si>
    <t>BT-804</t>
  </si>
  <si>
    <t>BT-805</t>
  </si>
  <si>
    <t>BT-806</t>
  </si>
  <si>
    <t>BT-807</t>
  </si>
  <si>
    <t>BT-808</t>
  </si>
  <si>
    <t>BT-809</t>
  </si>
  <si>
    <t>BT-810</t>
  </si>
  <si>
    <t>BT-811</t>
  </si>
  <si>
    <t>BT-812</t>
  </si>
  <si>
    <t>BT-813</t>
  </si>
  <si>
    <t>BT-814</t>
  </si>
  <si>
    <t>BT-815</t>
  </si>
  <si>
    <t>BT-816</t>
  </si>
  <si>
    <t>BT-817</t>
  </si>
  <si>
    <t>BT-818</t>
  </si>
  <si>
    <t>BT-819</t>
  </si>
  <si>
    <t>BT-820</t>
  </si>
  <si>
    <t>BT-821</t>
  </si>
  <si>
    <t>BT-901</t>
  </si>
  <si>
    <t>BT-902</t>
  </si>
  <si>
    <t>BT-903</t>
  </si>
  <si>
    <t>BT-904</t>
  </si>
  <si>
    <t>BT-905</t>
  </si>
  <si>
    <t>BT-906</t>
  </si>
  <si>
    <t>BT-907</t>
  </si>
  <si>
    <t>BT-908</t>
  </si>
  <si>
    <t>BT-909</t>
  </si>
  <si>
    <t>BT-910</t>
  </si>
  <si>
    <t>BT-911</t>
  </si>
  <si>
    <t>BT-912</t>
  </si>
  <si>
    <t>BT-913</t>
  </si>
  <si>
    <t>BT-914</t>
  </si>
  <si>
    <t>BT-915</t>
  </si>
  <si>
    <t>BT-916</t>
  </si>
  <si>
    <t>BT-917</t>
  </si>
  <si>
    <t>BT-918</t>
  </si>
  <si>
    <t>BT-919</t>
  </si>
  <si>
    <t>BT-920</t>
  </si>
  <si>
    <t>BT-921</t>
  </si>
  <si>
    <t>BT-1001</t>
  </si>
  <si>
    <t>BT-1002</t>
  </si>
  <si>
    <t>BT-1003</t>
  </si>
  <si>
    <t>BT-1004</t>
  </si>
  <si>
    <t>BT-1005</t>
  </si>
  <si>
    <t>BT-1006</t>
  </si>
  <si>
    <t>BT-1007</t>
  </si>
  <si>
    <t>BT-1008</t>
  </si>
  <si>
    <t>BT-1009</t>
  </si>
  <si>
    <t>BT-1010</t>
  </si>
  <si>
    <t>BT-1011</t>
  </si>
  <si>
    <t>BT-1012</t>
  </si>
  <si>
    <t>BT-1013</t>
  </si>
  <si>
    <t>BT-1014</t>
  </si>
  <si>
    <t>BT-1015</t>
  </si>
  <si>
    <t>BT-1016</t>
  </si>
  <si>
    <t>BT-1017</t>
  </si>
  <si>
    <t>BT-1018</t>
  </si>
  <si>
    <t>BT-1019</t>
  </si>
  <si>
    <t>BT-1020</t>
  </si>
  <si>
    <t>BT-1101</t>
  </si>
  <si>
    <t>BT-1102</t>
  </si>
  <si>
    <t>BT-1103</t>
  </si>
  <si>
    <t>BT-1104</t>
  </si>
  <si>
    <t>BT-1105</t>
  </si>
  <si>
    <t>BT-1106</t>
  </si>
  <si>
    <t>BT-1107</t>
  </si>
  <si>
    <t>BT-1108</t>
  </si>
  <si>
    <t>BT-1109</t>
  </si>
  <si>
    <t>BT-1110</t>
  </si>
  <si>
    <t>BT-1111</t>
  </si>
  <si>
    <t>BT-1112</t>
  </si>
  <si>
    <t>BT-1113</t>
  </si>
  <si>
    <t>BT-1114</t>
  </si>
  <si>
    <t>BT-1115</t>
  </si>
  <si>
    <t>BT-1116</t>
  </si>
  <si>
    <t>합   계</t>
    <phoneticPr fontId="6" type="noConversion"/>
  </si>
  <si>
    <t>인감증명서 1부, 주민등록등본 1부, 신분증 사본(복사), 개인인감도장</t>
    <phoneticPr fontId="6" type="noConversion"/>
  </si>
  <si>
    <t>인감증명서 1부, 주민등록등본 1부, 대표자 신분증 사본(복사), 사업자등록증 1부, 개인 인감도장</t>
    <phoneticPr fontId="6" type="noConversion"/>
  </si>
  <si>
    <t>법인인감증명서 1부, 법인등기부등본 1부, 대표자 신분증 사본(복사), 사업자등록증 1부, 법인 인감도장</t>
    <phoneticPr fontId="6" type="noConversion"/>
  </si>
  <si>
    <t>토지비</t>
  </si>
  <si>
    <t>건축비</t>
  </si>
  <si>
    <t>IBK기업은행</t>
    <phoneticPr fontId="6" type="noConversion"/>
  </si>
  <si>
    <t>694-022383-01-022</t>
    <phoneticPr fontId="6" type="noConversion"/>
  </si>
  <si>
    <t>694-022383-01-030</t>
    <phoneticPr fontId="6" type="noConversion"/>
  </si>
  <si>
    <t>층별공용</t>
  </si>
  <si>
    <t>기계/주차</t>
  </si>
  <si>
    <t>공용합계</t>
  </si>
  <si>
    <t>㎡</t>
  </si>
  <si>
    <t>평</t>
  </si>
  <si>
    <t xml:space="preserve">
기계전기실</t>
  </si>
  <si>
    <t>주차장</t>
  </si>
  <si>
    <t>금회공고</t>
  </si>
  <si>
    <r>
      <rPr>
        <b/>
        <sz val="28"/>
        <color rgb="FFC00000"/>
        <rFont val="맑은 고딕"/>
        <family val="3"/>
        <charset val="129"/>
        <scheme val="minor"/>
      </rPr>
      <t>정부수입인지 (사본제출, 원본 계약자 보관 필수)</t>
    </r>
    <r>
      <rPr>
        <b/>
        <sz val="28"/>
        <color rgb="FF000000"/>
        <rFont val="맑은 고딕"/>
        <family val="3"/>
        <charset val="129"/>
        <scheme val="minor"/>
      </rPr>
      <t xml:space="preserve">
인감증명서 1부, 주민등록등본 1부, 신분증 사본(복사), 개인인감도장</t>
    </r>
    <phoneticPr fontId="6" type="noConversion"/>
  </si>
  <si>
    <r>
      <rPr>
        <b/>
        <sz val="28"/>
        <color rgb="FFC00000"/>
        <rFont val="맑은 고딕"/>
        <family val="3"/>
        <charset val="129"/>
        <scheme val="minor"/>
      </rPr>
      <t>정부수입인지 (사본제출, 원본 계약자 보관 필수)</t>
    </r>
    <r>
      <rPr>
        <b/>
        <sz val="28"/>
        <color rgb="FF000000"/>
        <rFont val="맑은 고딕"/>
        <family val="3"/>
        <charset val="129"/>
        <scheme val="minor"/>
      </rPr>
      <t xml:space="preserve">
인감증명서 1부, 주민등록등본 1부, 대표자 신분증 사본(복사), 사업자등록증 1부, 개인 인감도장</t>
    </r>
    <phoneticPr fontId="6" type="noConversion"/>
  </si>
  <si>
    <r>
      <rPr>
        <b/>
        <sz val="28"/>
        <color rgb="FFC00000"/>
        <rFont val="맑은 고딕"/>
        <family val="3"/>
        <charset val="129"/>
        <scheme val="minor"/>
      </rPr>
      <t>정부수입인지 (사본제출, 원본 계약자 보관 필수)</t>
    </r>
    <r>
      <rPr>
        <b/>
        <sz val="28"/>
        <color rgb="FF000000"/>
        <rFont val="맑은 고딕"/>
        <family val="3"/>
        <charset val="129"/>
        <scheme val="minor"/>
      </rPr>
      <t xml:space="preserve">
법인인감증명서 1부, 법인등기부등본 1부, 대표자 신분증 사본(복사), 사업자등록증 1부, 법인 인감도장</t>
    </r>
    <phoneticPr fontId="6" type="noConversion"/>
  </si>
  <si>
    <t>B109</t>
  </si>
  <si>
    <t>B110</t>
  </si>
  <si>
    <t>B111</t>
  </si>
  <si>
    <t>B101</t>
  </si>
  <si>
    <t>공공성확보시설</t>
  </si>
  <si>
    <t>B102</t>
  </si>
  <si>
    <t>B103</t>
  </si>
  <si>
    <t>B104</t>
  </si>
  <si>
    <t>B105</t>
  </si>
  <si>
    <t>B106</t>
  </si>
  <si>
    <t>B107</t>
  </si>
  <si>
    <t>B108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</si>
  <si>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</si>
  <si>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</si>
  <si>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</si>
  <si>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</si>
  <si>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</si>
  <si>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</si>
  <si>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</si>
  <si>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</si>
  <si>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</si>
  <si>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</si>
  <si>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</si>
  <si>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</si>
  <si>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</si>
  <si>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B126</t>
  </si>
  <si>
    <t>B127</t>
  </si>
  <si>
    <t>B128</t>
  </si>
  <si>
    <t>B129</t>
  </si>
  <si>
    <t>B135-1</t>
  </si>
  <si>
    <t>B135-2</t>
  </si>
  <si>
    <t>B125</t>
  </si>
  <si>
    <t>B130</t>
  </si>
  <si>
    <t>B131</t>
  </si>
  <si>
    <t>B132</t>
  </si>
  <si>
    <t>B133</t>
  </si>
  <si>
    <t>B134</t>
  </si>
  <si>
    <t>B136</t>
  </si>
  <si>
    <t>B137</t>
  </si>
  <si>
    <t>B138</t>
  </si>
  <si>
    <t>임대</t>
  </si>
  <si>
    <t>잔여분</t>
  </si>
  <si>
    <t>분양</t>
  </si>
  <si>
    <t>지하 1층 소계</t>
  </si>
  <si>
    <t>BT-106</t>
  </si>
  <si>
    <t>1층 소계</t>
  </si>
  <si>
    <t>2층 소계</t>
  </si>
  <si>
    <t>3층 소계</t>
  </si>
  <si>
    <t>분양 분류</t>
  </si>
  <si>
    <t>전용면적</t>
  </si>
  <si>
    <t>분양면적</t>
  </si>
  <si>
    <t>공용면적</t>
  </si>
  <si>
    <t>대지지분</t>
  </si>
  <si>
    <t>임대가(vat별도)</t>
  </si>
  <si>
    <t>분양가(vat별도)</t>
  </si>
  <si>
    <t>부가세</t>
  </si>
  <si>
    <t>총분양가
(vat포함)</t>
  </si>
  <si>
    <t>계약금 (10%)</t>
  </si>
  <si>
    <t>구분</t>
  </si>
  <si>
    <t>세부용도</t>
  </si>
  <si>
    <t>보증금</t>
  </si>
  <si>
    <t>4층 소계</t>
  </si>
  <si>
    <t>5층 소계</t>
  </si>
  <si>
    <t>6층 소계</t>
  </si>
  <si>
    <t>7층 소계</t>
  </si>
  <si>
    <t>8층 소계</t>
  </si>
  <si>
    <t>9층 소계</t>
  </si>
  <si>
    <t>10층 소계</t>
  </si>
  <si>
    <t>11층 소계</t>
  </si>
  <si>
    <t>-</t>
  </si>
  <si>
    <t>업무시설(지식산업센터)</t>
  </si>
  <si>
    <t>B401</t>
  </si>
  <si>
    <t>B402</t>
  </si>
  <si>
    <t>B403</t>
  </si>
  <si>
    <t>B404</t>
  </si>
  <si>
    <t>B405</t>
  </si>
  <si>
    <t>B406</t>
  </si>
  <si>
    <t>B407</t>
  </si>
  <si>
    <t>B408</t>
  </si>
  <si>
    <t>B409</t>
  </si>
  <si>
    <t>B410</t>
  </si>
  <si>
    <t>B411</t>
  </si>
  <si>
    <t>B412</t>
  </si>
  <si>
    <t>공공성확보시설</t>
    <phoneticPr fontId="51" type="noConversion"/>
  </si>
  <si>
    <t>B301</t>
  </si>
  <si>
    <t>B302</t>
  </si>
  <si>
    <t>B303</t>
  </si>
  <si>
    <t>B304</t>
  </si>
  <si>
    <t>B305</t>
  </si>
  <si>
    <t>B306</t>
  </si>
  <si>
    <t>B307</t>
  </si>
  <si>
    <t>B308</t>
  </si>
  <si>
    <t>B309</t>
  </si>
  <si>
    <t>B310</t>
  </si>
  <si>
    <t>B311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</si>
  <si>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</si>
  <si>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</si>
  <si>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</si>
  <si>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</si>
  <si>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</si>
  <si>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</si>
  <si>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</si>
  <si>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</si>
  <si>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</si>
  <si>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지하 4층 소계</t>
  </si>
  <si>
    <t>지하 3층 소계</t>
  </si>
  <si>
    <t>지하 2층 소계</t>
  </si>
  <si>
    <t>기타지원시설</t>
  </si>
  <si>
    <t>근린생활시설</t>
  </si>
  <si>
    <t>기타지원시설</t>
    <phoneticPr fontId="6" type="noConversion"/>
  </si>
  <si>
    <t>실수요</t>
  </si>
  <si>
    <t>실수요분양</t>
  </si>
  <si>
    <t>bt-415</t>
    <phoneticPr fontId="6" type="noConversion"/>
  </si>
  <si>
    <t>bt-414</t>
    <phoneticPr fontId="6" type="noConversion"/>
  </si>
  <si>
    <t>bt-416</t>
    <phoneticPr fontId="6" type="noConversion"/>
  </si>
  <si>
    <t>bt-1104</t>
  </si>
  <si>
    <t>bt-1105</t>
  </si>
  <si>
    <t>bt-1107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</si>
</sst>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#,##0_ "/>
    <numFmt numFmtId="177" formatCode="#,##0_);[Red]\(#,##0\)"/>
    <numFmt numFmtId="178" formatCode="0.00_ "/>
    <numFmt numFmtId="179" formatCode="#,##0.00_ "/>
    <numFmt numFmtId="180" formatCode="\-"/>
    <numFmt numFmtId="181" formatCode="#,##0;[Red]#,##0"/>
    <numFmt numFmtId="182" formatCode="#,##0_ ;[Red]\-#,##0\ "/>
  </numFmts>
  <fonts count="53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u/>
      <sz val="11"/>
      <color rgb="FF0000FF"/>
      <name val="돋움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30"/>
      <color rgb="FF000000"/>
      <name val="맑은 고딕"/>
      <family val="3"/>
      <charset val="129"/>
    </font>
    <font>
      <sz val="30"/>
      <color rgb="FF006600"/>
      <name val="KoPub돋움체 Bold"/>
      <family val="3"/>
      <charset val="129"/>
    </font>
    <font>
      <sz val="30"/>
      <color rgb="FF000000"/>
      <name val="KoPub돋움체 Bold"/>
      <family val="3"/>
      <charset val="129"/>
    </font>
    <font>
      <sz val="30"/>
      <name val="KoPub돋움체 Bold"/>
      <family val="3"/>
      <charset val="129"/>
    </font>
    <font>
      <sz val="28"/>
      <color rgb="FF000000"/>
      <name val="KoPub돋움체 Bold"/>
      <family val="3"/>
      <charset val="129"/>
    </font>
    <font>
      <sz val="36"/>
      <color rgb="FF000000"/>
      <name val="KoPub돋움체 Bold"/>
      <family val="3"/>
      <charset val="129"/>
    </font>
    <font>
      <sz val="28"/>
      <color rgb="FF339966"/>
      <name val="KoPub돋움체 Bold"/>
      <family val="3"/>
      <charset val="129"/>
    </font>
    <font>
      <sz val="26"/>
      <color rgb="FF000000"/>
      <name val="KoPub돋움체 Bold"/>
      <family val="3"/>
      <charset val="129"/>
    </font>
    <font>
      <sz val="24"/>
      <color rgb="FF000000"/>
      <name val="KoPub돋움체 Bold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26"/>
      <name val="맑은 고딕"/>
      <family val="3"/>
      <charset val="129"/>
      <scheme val="minor"/>
    </font>
    <font>
      <b/>
      <sz val="29"/>
      <color rgb="FF000000"/>
      <name val="맑은 고딕"/>
      <family val="3"/>
      <charset val="129"/>
      <scheme val="minor"/>
    </font>
    <font>
      <b/>
      <sz val="30"/>
      <color theme="1" tint="0.14999847407452621"/>
      <name val="맑은 고딕"/>
      <family val="3"/>
      <charset val="129"/>
      <scheme val="minor"/>
    </font>
    <font>
      <b/>
      <sz val="30"/>
      <color rgb="FF000000"/>
      <name val="맑은 고딕"/>
      <family val="3"/>
      <charset val="129"/>
      <scheme val="minor"/>
    </font>
    <font>
      <b/>
      <sz val="30"/>
      <name val="맑은 고딕"/>
      <family val="3"/>
      <charset val="129"/>
      <scheme val="minor"/>
    </font>
    <font>
      <b/>
      <sz val="28"/>
      <color rgb="FF000000"/>
      <name val="맑은 고딕"/>
      <family val="3"/>
      <charset val="129"/>
      <scheme val="minor"/>
    </font>
    <font>
      <b/>
      <sz val="28"/>
      <color rgb="FFC00000"/>
      <name val="맑은 고딕"/>
      <family val="3"/>
      <charset val="129"/>
      <scheme val="minor"/>
    </font>
    <font>
      <b/>
      <sz val="36"/>
      <color rgb="FF000000"/>
      <name val="맑은 고딕"/>
      <family val="3"/>
      <charset val="129"/>
      <scheme val="minor"/>
    </font>
    <font>
      <b/>
      <sz val="48"/>
      <color rgb="FF000000"/>
      <name val="맑은 고딕"/>
      <family val="3"/>
      <charset val="129"/>
      <scheme val="minor"/>
    </font>
    <font>
      <b/>
      <sz val="31"/>
      <color rgb="FF000000"/>
      <name val="맑은 고딕"/>
      <family val="3"/>
      <charset val="129"/>
      <scheme val="minor"/>
    </font>
    <font>
      <b/>
      <sz val="30"/>
      <color rgb="FFC00000"/>
      <name val="맑은 고딕"/>
      <family val="3"/>
      <charset val="129"/>
      <scheme val="minor"/>
    </font>
    <font>
      <b/>
      <sz val="30"/>
      <color theme="1" tint="0.14999847407452621"/>
      <name val="맑은 고딕"/>
      <family val="3"/>
      <charset val="129"/>
      <scheme val="major"/>
    </font>
    <font>
      <b/>
      <sz val="30"/>
      <color rgb="FF000000"/>
      <name val="맑은 고딕"/>
      <family val="3"/>
      <charset val="129"/>
      <scheme val="major"/>
    </font>
    <font>
      <b/>
      <sz val="26"/>
      <name val="맑은 고딕"/>
      <family val="3"/>
      <charset val="129"/>
      <scheme val="major"/>
    </font>
    <font>
      <b/>
      <sz val="29"/>
      <color rgb="FF000000"/>
      <name val="맑은 고딕"/>
      <family val="3"/>
      <charset val="129"/>
      <scheme val="major"/>
    </font>
    <font>
      <b/>
      <sz val="30"/>
      <name val="맑은 고딕"/>
      <family val="3"/>
      <charset val="129"/>
      <scheme val="major"/>
    </font>
    <font>
      <b/>
      <sz val="28"/>
      <color rgb="FF000000"/>
      <name val="맑은 고딕"/>
      <family val="3"/>
      <charset val="129"/>
      <scheme val="major"/>
    </font>
    <font>
      <b/>
      <sz val="36"/>
      <color rgb="FF000000"/>
      <name val="맑은 고딕"/>
      <family val="3"/>
      <charset val="129"/>
      <scheme val="major"/>
    </font>
    <font>
      <b/>
      <sz val="48"/>
      <color rgb="FF000000"/>
      <name val="맑은 고딕"/>
      <family val="3"/>
      <charset val="129"/>
      <scheme val="major"/>
    </font>
    <font>
      <b/>
      <sz val="31"/>
      <color rgb="FF000000"/>
      <name val="맑은 고딕"/>
      <family val="3"/>
      <charset val="129"/>
      <scheme val="major"/>
    </font>
    <font>
      <b/>
      <sz val="28"/>
      <color rgb="FFC00000"/>
      <name val="맑은 고딕"/>
      <family val="3"/>
      <charset val="129"/>
      <scheme val="major"/>
    </font>
    <font>
      <sz val="10"/>
      <color theme="4" tint="-0.249977111117893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ajor"/>
    </font>
    <font>
      <b/>
      <sz val="20"/>
      <color rgb="FF000000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rgb="FFEE0000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33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C6EC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1DBB6"/>
        <bgColor indexed="64"/>
      </patternFill>
    </fill>
    <fill>
      <patternFill patternType="solid">
        <fgColor rgb="FF00B0F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5">
    <xf numFmtId="0" fontId="0" fillId="0" borderId="0">
      <alignment vertical="center"/>
    </xf>
    <xf numFmtId="41" fontId="5" fillId="0" borderId="0">
      <alignment vertical="center"/>
    </xf>
    <xf numFmtId="41" fontId="3" fillId="0" borderId="0"/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41" fontId="5" fillId="0" borderId="0">
      <alignment vertical="center"/>
    </xf>
    <xf numFmtId="9" fontId="5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5" fillId="0" borderId="0">
      <alignment vertical="center"/>
    </xf>
    <xf numFmtId="41" fontId="5" fillId="0" borderId="0">
      <alignment vertical="center"/>
    </xf>
  </cellStyleXfs>
  <cellXfs count="421">
    <xf numFmtId="0" fontId="0" fillId="0" borderId="0" xfId="0">
      <alignment vertical="center"/>
    </xf>
    <xf numFmtId="0" fontId="8" fillId="4" borderId="0" xfId="0" applyFont="1" applyFill="1">
      <alignment vertical="center"/>
    </xf>
    <xf numFmtId="0" fontId="8" fillId="3" borderId="0" xfId="0" applyFont="1" applyFill="1">
      <alignment vertical="center"/>
    </xf>
    <xf numFmtId="0" fontId="10" fillId="3" borderId="0" xfId="0" applyFont="1" applyFill="1">
      <alignment vertical="center"/>
    </xf>
    <xf numFmtId="0" fontId="9" fillId="3" borderId="0" xfId="0" applyFont="1" applyFill="1">
      <alignment vertical="center"/>
    </xf>
    <xf numFmtId="0" fontId="14" fillId="3" borderId="0" xfId="0" applyFont="1" applyFill="1">
      <alignment vertical="center"/>
    </xf>
    <xf numFmtId="0" fontId="8" fillId="2" borderId="0" xfId="0" applyFont="1" applyFill="1">
      <alignment vertical="center"/>
    </xf>
    <xf numFmtId="0" fontId="8" fillId="0" borderId="0" xfId="0" applyFont="1">
      <alignment vertical="center"/>
    </xf>
    <xf numFmtId="0" fontId="10" fillId="3" borderId="10" xfId="0" applyFont="1" applyFill="1" applyBorder="1">
      <alignment vertical="center"/>
    </xf>
    <xf numFmtId="3" fontId="8" fillId="4" borderId="0" xfId="0" applyNumberFormat="1" applyFont="1" applyFill="1">
      <alignment vertical="center"/>
    </xf>
    <xf numFmtId="0" fontId="8" fillId="7" borderId="0" xfId="0" applyFont="1" applyFill="1">
      <alignment vertical="center"/>
    </xf>
    <xf numFmtId="0" fontId="8" fillId="8" borderId="0" xfId="0" applyFont="1" applyFill="1">
      <alignment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0" fontId="18" fillId="0" borderId="21" xfId="0" applyFont="1" applyBorder="1" applyAlignment="1">
      <alignment horizontal="center" vertical="center" wrapText="1" readingOrder="1"/>
    </xf>
    <xf numFmtId="0" fontId="18" fillId="0" borderId="1" xfId="0" applyFont="1" applyBorder="1" applyAlignment="1">
      <alignment horizontal="center" vertical="center" wrapText="1" readingOrder="1"/>
    </xf>
    <xf numFmtId="0" fontId="18" fillId="0" borderId="1" xfId="0" applyFont="1" applyBorder="1" applyAlignment="1">
      <alignment horizontal="center" vertical="center"/>
    </xf>
    <xf numFmtId="179" fontId="18" fillId="0" borderId="1" xfId="0" applyNumberFormat="1" applyFont="1" applyBorder="1" applyAlignment="1">
      <alignment horizontal="center" vertical="center" wrapText="1" readingOrder="1"/>
    </xf>
    <xf numFmtId="179" fontId="18" fillId="0" borderId="1" xfId="0" applyNumberFormat="1" applyFont="1" applyBorder="1" applyAlignment="1">
      <alignment horizontal="center" vertical="center"/>
    </xf>
    <xf numFmtId="182" fontId="18" fillId="0" borderId="1" xfId="0" applyNumberFormat="1" applyFont="1" applyBorder="1" applyAlignment="1">
      <alignment horizontal="center" vertical="center"/>
    </xf>
    <xf numFmtId="182" fontId="18" fillId="0" borderId="1" xfId="0" applyNumberFormat="1" applyFont="1" applyBorder="1" applyAlignment="1">
      <alignment horizontal="center" vertical="center" wrapText="1" readingOrder="1"/>
    </xf>
    <xf numFmtId="182" fontId="17" fillId="0" borderId="1" xfId="1" applyNumberFormat="1" applyFont="1" applyBorder="1">
      <alignment vertical="center"/>
    </xf>
    <xf numFmtId="0" fontId="18" fillId="0" borderId="2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182" fontId="17" fillId="0" borderId="1" xfId="0" applyNumberFormat="1" applyFont="1" applyBorder="1">
      <alignment vertical="center"/>
    </xf>
    <xf numFmtId="182" fontId="17" fillId="0" borderId="0" xfId="0" applyNumberFormat="1" applyFont="1">
      <alignment vertical="center"/>
    </xf>
    <xf numFmtId="179" fontId="20" fillId="9" borderId="1" xfId="0" applyNumberFormat="1" applyFont="1" applyFill="1" applyBorder="1" applyAlignment="1">
      <alignment horizontal="center" vertical="center"/>
    </xf>
    <xf numFmtId="176" fontId="20" fillId="9" borderId="1" xfId="0" applyNumberFormat="1" applyFont="1" applyFill="1" applyBorder="1" applyAlignment="1">
      <alignment horizontal="center" vertical="center"/>
    </xf>
    <xf numFmtId="179" fontId="21" fillId="9" borderId="1" xfId="0" applyNumberFormat="1" applyFont="1" applyFill="1" applyBorder="1" applyAlignment="1">
      <alignment horizontal="center" vertical="center"/>
    </xf>
    <xf numFmtId="176" fontId="21" fillId="9" borderId="1" xfId="0" applyNumberFormat="1" applyFont="1" applyFill="1" applyBorder="1" applyAlignment="1">
      <alignment horizontal="center" vertical="center"/>
    </xf>
    <xf numFmtId="2" fontId="21" fillId="9" borderId="1" xfId="0" applyNumberFormat="1" applyFont="1" applyFill="1" applyBorder="1" applyAlignment="1">
      <alignment horizontal="center" vertical="center"/>
    </xf>
    <xf numFmtId="2" fontId="21" fillId="9" borderId="22" xfId="0" applyNumberFormat="1" applyFont="1" applyFill="1" applyBorder="1" applyAlignment="1">
      <alignment horizontal="center" vertical="center"/>
    </xf>
    <xf numFmtId="176" fontId="21" fillId="9" borderId="22" xfId="0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0" fontId="22" fillId="10" borderId="1" xfId="0" applyFont="1" applyFill="1" applyBorder="1" applyAlignment="1">
      <alignment horizontal="center" vertical="center"/>
    </xf>
    <xf numFmtId="182" fontId="22" fillId="10" borderId="1" xfId="0" applyNumberFormat="1" applyFont="1" applyFill="1" applyBorder="1" applyAlignment="1">
      <alignment horizontal="center" vertical="center"/>
    </xf>
    <xf numFmtId="182" fontId="19" fillId="0" borderId="1" xfId="0" applyNumberFormat="1" applyFont="1" applyBorder="1">
      <alignment vertical="center"/>
    </xf>
    <xf numFmtId="182" fontId="17" fillId="0" borderId="2" xfId="1" applyNumberFormat="1" applyFont="1" applyBorder="1">
      <alignment vertical="center"/>
    </xf>
    <xf numFmtId="182" fontId="17" fillId="0" borderId="3" xfId="0" applyNumberFormat="1" applyFont="1" applyBorder="1">
      <alignment vertical="center"/>
    </xf>
    <xf numFmtId="182" fontId="18" fillId="0" borderId="24" xfId="0" applyNumberFormat="1" applyFont="1" applyBorder="1" applyAlignment="1">
      <alignment horizontal="center" vertical="center"/>
    </xf>
    <xf numFmtId="182" fontId="17" fillId="0" borderId="8" xfId="0" applyNumberFormat="1" applyFont="1" applyBorder="1">
      <alignment vertical="center"/>
    </xf>
    <xf numFmtId="2" fontId="17" fillId="0" borderId="0" xfId="0" applyNumberFormat="1" applyFont="1">
      <alignment vertical="center"/>
    </xf>
    <xf numFmtId="176" fontId="17" fillId="0" borderId="3" xfId="0" applyNumberFormat="1" applyFont="1" applyBorder="1">
      <alignment vertical="center"/>
    </xf>
    <xf numFmtId="176" fontId="17" fillId="0" borderId="1" xfId="0" applyNumberFormat="1" applyFont="1" applyBorder="1">
      <alignment vertical="center"/>
    </xf>
    <xf numFmtId="2" fontId="17" fillId="0" borderId="1" xfId="0" applyNumberFormat="1" applyFont="1" applyBorder="1">
      <alignment vertical="center"/>
    </xf>
    <xf numFmtId="0" fontId="25" fillId="10" borderId="1" xfId="0" applyFont="1" applyFill="1" applyBorder="1" applyAlignment="1">
      <alignment horizontal="center" vertical="center"/>
    </xf>
    <xf numFmtId="182" fontId="26" fillId="0" borderId="26" xfId="0" applyNumberFormat="1" applyFont="1" applyBorder="1" applyAlignment="1">
      <alignment horizontal="center" vertical="center"/>
    </xf>
    <xf numFmtId="182" fontId="26" fillId="0" borderId="27" xfId="0" applyNumberFormat="1" applyFont="1" applyBorder="1" applyAlignment="1">
      <alignment horizontal="center" vertical="center"/>
    </xf>
    <xf numFmtId="182" fontId="17" fillId="0" borderId="1" xfId="0" applyNumberFormat="1" applyFont="1" applyBorder="1" applyAlignment="1">
      <alignment horizontal="center" vertical="center"/>
    </xf>
    <xf numFmtId="0" fontId="29" fillId="3" borderId="0" xfId="0" applyFont="1" applyFill="1">
      <alignment vertical="center"/>
    </xf>
    <xf numFmtId="0" fontId="30" fillId="3" borderId="0" xfId="0" applyFont="1" applyFill="1">
      <alignment vertical="center"/>
    </xf>
    <xf numFmtId="0" fontId="33" fillId="3" borderId="0" xfId="0" applyFont="1" applyFill="1">
      <alignment vertical="center"/>
    </xf>
    <xf numFmtId="0" fontId="38" fillId="3" borderId="0" xfId="0" applyFont="1" applyFill="1">
      <alignment vertical="center"/>
    </xf>
    <xf numFmtId="0" fontId="39" fillId="3" borderId="0" xfId="0" applyFont="1" applyFill="1">
      <alignment vertical="center"/>
    </xf>
    <xf numFmtId="0" fontId="47" fillId="3" borderId="0" xfId="0" applyFont="1" applyFill="1">
      <alignment vertical="center"/>
    </xf>
    <xf numFmtId="182" fontId="17" fillId="0" borderId="0" xfId="0" applyNumberFormat="1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0" fontId="26" fillId="0" borderId="21" xfId="0" applyFont="1" applyBorder="1" applyAlignment="1">
      <alignment horizontal="center" vertical="center" wrapText="1" readingOrder="1"/>
    </xf>
    <xf numFmtId="0" fontId="26" fillId="0" borderId="1" xfId="0" applyFont="1" applyBorder="1" applyAlignment="1">
      <alignment horizontal="center" vertical="center" wrapText="1" readingOrder="1"/>
    </xf>
    <xf numFmtId="0" fontId="26" fillId="0" borderId="1" xfId="0" applyFont="1" applyBorder="1" applyAlignment="1">
      <alignment horizontal="center" vertical="center"/>
    </xf>
    <xf numFmtId="179" fontId="26" fillId="0" borderId="1" xfId="0" applyNumberFormat="1" applyFont="1" applyBorder="1" applyAlignment="1">
      <alignment horizontal="center" vertical="center" wrapText="1" readingOrder="1"/>
    </xf>
    <xf numFmtId="179" fontId="26" fillId="0" borderId="1" xfId="0" applyNumberFormat="1" applyFont="1" applyBorder="1" applyAlignment="1">
      <alignment horizontal="center" vertical="center"/>
    </xf>
    <xf numFmtId="2" fontId="26" fillId="0" borderId="1" xfId="0" applyNumberFormat="1" applyFont="1" applyBorder="1">
      <alignment vertical="center"/>
    </xf>
    <xf numFmtId="182" fontId="26" fillId="0" borderId="1" xfId="0" applyNumberFormat="1" applyFont="1" applyBorder="1" applyAlignment="1">
      <alignment horizontal="center" vertical="center"/>
    </xf>
    <xf numFmtId="182" fontId="26" fillId="0" borderId="1" xfId="0" applyNumberFormat="1" applyFont="1" applyBorder="1" applyAlignment="1">
      <alignment horizontal="center" vertical="center" wrapText="1" readingOrder="1"/>
    </xf>
    <xf numFmtId="182" fontId="26" fillId="0" borderId="2" xfId="1" applyNumberFormat="1" applyFont="1" applyBorder="1">
      <alignment vertical="center"/>
    </xf>
    <xf numFmtId="182" fontId="26" fillId="0" borderId="24" xfId="0" applyNumberFormat="1" applyFont="1" applyBorder="1" applyAlignment="1">
      <alignment horizontal="center" vertical="center"/>
    </xf>
    <xf numFmtId="182" fontId="26" fillId="0" borderId="3" xfId="0" applyNumberFormat="1" applyFont="1" applyBorder="1">
      <alignment vertical="center"/>
    </xf>
    <xf numFmtId="182" fontId="26" fillId="0" borderId="1" xfId="0" applyNumberFormat="1" applyFont="1" applyBorder="1">
      <alignment vertical="center"/>
    </xf>
    <xf numFmtId="0" fontId="26" fillId="0" borderId="0" xfId="0" applyFont="1" applyAlignment="1">
      <alignment horizontal="center" vertical="center"/>
    </xf>
    <xf numFmtId="2" fontId="26" fillId="0" borderId="0" xfId="0" applyNumberFormat="1" applyFont="1">
      <alignment vertical="center"/>
    </xf>
    <xf numFmtId="0" fontId="26" fillId="0" borderId="0" xfId="0" applyFont="1">
      <alignment vertical="center"/>
    </xf>
    <xf numFmtId="179" fontId="19" fillId="0" borderId="1" xfId="0" applyNumberFormat="1" applyFont="1" applyBorder="1" applyAlignment="1">
      <alignment horizontal="center" vertical="center"/>
    </xf>
    <xf numFmtId="2" fontId="19" fillId="0" borderId="1" xfId="0" applyNumberFormat="1" applyFont="1" applyBorder="1">
      <alignment vertical="center"/>
    </xf>
    <xf numFmtId="2" fontId="18" fillId="0" borderId="1" xfId="0" applyNumberFormat="1" applyFont="1" applyBorder="1">
      <alignment vertical="center"/>
    </xf>
    <xf numFmtId="182" fontId="18" fillId="0" borderId="2" xfId="1" applyNumberFormat="1" applyFont="1" applyBorder="1">
      <alignment vertical="center"/>
    </xf>
    <xf numFmtId="182" fontId="18" fillId="0" borderId="3" xfId="0" applyNumberFormat="1" applyFont="1" applyBorder="1">
      <alignment vertical="center"/>
    </xf>
    <xf numFmtId="182" fontId="18" fillId="0" borderId="1" xfId="0" applyNumberFormat="1" applyFont="1" applyBorder="1">
      <alignment vertical="center"/>
    </xf>
    <xf numFmtId="0" fontId="18" fillId="0" borderId="0" xfId="0" applyFont="1" applyAlignment="1">
      <alignment horizontal="center" vertical="center"/>
    </xf>
    <xf numFmtId="2" fontId="18" fillId="0" borderId="0" xfId="0" applyNumberFormat="1" applyFont="1">
      <alignment vertical="center"/>
    </xf>
    <xf numFmtId="0" fontId="18" fillId="0" borderId="0" xfId="0" applyFont="1">
      <alignment vertical="center"/>
    </xf>
    <xf numFmtId="0" fontId="26" fillId="0" borderId="21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79" fontId="19" fillId="0" borderId="1" xfId="0" applyNumberFormat="1" applyFont="1" applyBorder="1" applyAlignment="1">
      <alignment horizontal="center" vertical="center" wrapText="1" readingOrder="1"/>
    </xf>
    <xf numFmtId="182" fontId="19" fillId="0" borderId="1" xfId="0" applyNumberFormat="1" applyFont="1" applyBorder="1" applyAlignment="1">
      <alignment horizontal="center" vertical="center"/>
    </xf>
    <xf numFmtId="182" fontId="19" fillId="0" borderId="2" xfId="1" applyNumberFormat="1" applyFont="1" applyBorder="1">
      <alignment vertical="center"/>
    </xf>
    <xf numFmtId="182" fontId="19" fillId="0" borderId="24" xfId="0" applyNumberFormat="1" applyFont="1" applyBorder="1" applyAlignment="1">
      <alignment horizontal="center" vertical="center"/>
    </xf>
    <xf numFmtId="182" fontId="19" fillId="0" borderId="3" xfId="0" applyNumberFormat="1" applyFont="1" applyBorder="1">
      <alignment vertical="center"/>
    </xf>
    <xf numFmtId="0" fontId="19" fillId="0" borderId="0" xfId="0" applyFont="1" applyAlignment="1">
      <alignment horizontal="center" vertical="center"/>
    </xf>
    <xf numFmtId="2" fontId="19" fillId="0" borderId="0" xfId="0" applyNumberFormat="1" applyFont="1">
      <alignment vertical="center"/>
    </xf>
    <xf numFmtId="0" fontId="19" fillId="0" borderId="0" xfId="0" applyFont="1">
      <alignment vertical="center"/>
    </xf>
    <xf numFmtId="0" fontId="48" fillId="0" borderId="2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179" fontId="48" fillId="0" borderId="1" xfId="0" applyNumberFormat="1" applyFont="1" applyBorder="1" applyAlignment="1">
      <alignment horizontal="center" vertical="center"/>
    </xf>
    <xf numFmtId="179" fontId="48" fillId="0" borderId="1" xfId="0" applyNumberFormat="1" applyFont="1" applyBorder="1" applyAlignment="1">
      <alignment horizontal="center" vertical="center" wrapText="1" readingOrder="1"/>
    </xf>
    <xf numFmtId="2" fontId="48" fillId="0" borderId="1" xfId="0" applyNumberFormat="1" applyFont="1" applyBorder="1">
      <alignment vertical="center"/>
    </xf>
    <xf numFmtId="182" fontId="48" fillId="0" borderId="1" xfId="0" applyNumberFormat="1" applyFont="1" applyBorder="1" applyAlignment="1">
      <alignment horizontal="center" vertical="center"/>
    </xf>
    <xf numFmtId="182" fontId="48" fillId="0" borderId="2" xfId="1" applyNumberFormat="1" applyFont="1" applyBorder="1">
      <alignment vertical="center"/>
    </xf>
    <xf numFmtId="182" fontId="48" fillId="0" borderId="24" xfId="0" applyNumberFormat="1" applyFont="1" applyBorder="1" applyAlignment="1">
      <alignment horizontal="center" vertical="center"/>
    </xf>
    <xf numFmtId="182" fontId="48" fillId="0" borderId="3" xfId="0" applyNumberFormat="1" applyFont="1" applyBorder="1">
      <alignment vertical="center"/>
    </xf>
    <xf numFmtId="182" fontId="48" fillId="0" borderId="1" xfId="0" applyNumberFormat="1" applyFont="1" applyBorder="1">
      <alignment vertical="center"/>
    </xf>
    <xf numFmtId="0" fontId="48" fillId="0" borderId="0" xfId="0" applyFont="1" applyAlignment="1">
      <alignment horizontal="center" vertical="center"/>
    </xf>
    <xf numFmtId="2" fontId="48" fillId="0" borderId="0" xfId="0" applyNumberFormat="1" applyFont="1">
      <alignment vertical="center"/>
    </xf>
    <xf numFmtId="0" fontId="48" fillId="0" borderId="0" xfId="0" applyFont="1">
      <alignment vertical="center"/>
    </xf>
    <xf numFmtId="182" fontId="19" fillId="0" borderId="2" xfId="1" applyNumberFormat="1" applyFont="1" applyBorder="1" applyAlignment="1">
      <alignment horizontal="center" vertical="center"/>
    </xf>
    <xf numFmtId="182" fontId="48" fillId="0" borderId="2" xfId="1" applyNumberFormat="1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82" fontId="19" fillId="0" borderId="4" xfId="0" applyNumberFormat="1" applyFont="1" applyBorder="1">
      <alignment vertical="center"/>
    </xf>
    <xf numFmtId="182" fontId="19" fillId="0" borderId="4" xfId="0" applyNumberFormat="1" applyFont="1" applyBorder="1" applyAlignment="1">
      <alignment horizontal="center" vertical="center"/>
    </xf>
    <xf numFmtId="182" fontId="19" fillId="0" borderId="5" xfId="1" applyNumberFormat="1" applyFont="1" applyBorder="1">
      <alignment vertical="center"/>
    </xf>
    <xf numFmtId="182" fontId="19" fillId="0" borderId="28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 wrapText="1" readingOrder="1"/>
    </xf>
    <xf numFmtId="0" fontId="18" fillId="0" borderId="3" xfId="0" applyFont="1" applyBorder="1" applyAlignment="1">
      <alignment horizontal="center" vertical="center"/>
    </xf>
    <xf numFmtId="179" fontId="18" fillId="0" borderId="21" xfId="0" applyNumberFormat="1" applyFont="1" applyBorder="1" applyAlignment="1">
      <alignment horizontal="center" vertical="center" wrapText="1" readingOrder="1"/>
    </xf>
    <xf numFmtId="179" fontId="18" fillId="0" borderId="49" xfId="0" applyNumberFormat="1" applyFont="1" applyBorder="1" applyAlignment="1">
      <alignment horizontal="center" vertical="center" wrapText="1" readingOrder="1"/>
    </xf>
    <xf numFmtId="182" fontId="17" fillId="0" borderId="2" xfId="13" applyNumberFormat="1" applyFont="1" applyBorder="1">
      <alignment vertical="center"/>
    </xf>
    <xf numFmtId="182" fontId="18" fillId="0" borderId="24" xfId="10" applyNumberFormat="1" applyFont="1" applyBorder="1" applyAlignment="1">
      <alignment horizontal="center" vertical="center"/>
    </xf>
    <xf numFmtId="176" fontId="20" fillId="9" borderId="1" xfId="10" applyNumberFormat="1" applyFont="1" applyFill="1" applyBorder="1" applyAlignment="1">
      <alignment horizontal="center" vertical="center" wrapText="1" readingOrder="1"/>
    </xf>
    <xf numFmtId="182" fontId="17" fillId="0" borderId="25" xfId="10" applyNumberFormat="1" applyFont="1" applyBorder="1">
      <alignment vertical="center"/>
    </xf>
    <xf numFmtId="182" fontId="17" fillId="0" borderId="1" xfId="10" applyNumberFormat="1" applyFont="1" applyBorder="1">
      <alignment vertical="center"/>
    </xf>
    <xf numFmtId="0" fontId="17" fillId="0" borderId="0" xfId="10" applyFont="1" applyAlignment="1">
      <alignment horizontal="center" vertical="center"/>
    </xf>
    <xf numFmtId="2" fontId="17" fillId="0" borderId="0" xfId="10" applyNumberFormat="1" applyFont="1" applyAlignment="1">
      <alignment horizontal="center" vertical="center"/>
    </xf>
    <xf numFmtId="0" fontId="18" fillId="0" borderId="1" xfId="10" applyFont="1" applyBorder="1" applyAlignment="1">
      <alignment horizontal="center" vertical="center"/>
    </xf>
    <xf numFmtId="0" fontId="20" fillId="9" borderId="1" xfId="10" applyFont="1" applyFill="1" applyBorder="1" applyAlignment="1">
      <alignment horizontal="center" vertical="center" wrapText="1" readingOrder="1"/>
    </xf>
    <xf numFmtId="0" fontId="17" fillId="0" borderId="1" xfId="10" applyFont="1" applyBorder="1" applyAlignment="1">
      <alignment horizontal="center" vertical="center"/>
    </xf>
    <xf numFmtId="0" fontId="19" fillId="0" borderId="1" xfId="10" applyFont="1" applyBorder="1" applyAlignment="1">
      <alignment horizontal="center" vertical="center"/>
    </xf>
    <xf numFmtId="0" fontId="20" fillId="9" borderId="22" xfId="10" applyFont="1" applyFill="1" applyBorder="1" applyAlignment="1">
      <alignment horizontal="center" vertical="center" wrapText="1" readingOrder="1"/>
    </xf>
    <xf numFmtId="179" fontId="20" fillId="9" borderId="1" xfId="10" applyNumberFormat="1" applyFont="1" applyFill="1" applyBorder="1" applyAlignment="1">
      <alignment horizontal="center" vertical="center" wrapText="1" readingOrder="1"/>
    </xf>
    <xf numFmtId="0" fontId="52" fillId="0" borderId="1" xfId="0" applyFont="1" applyBorder="1" applyAlignment="1">
      <alignment horizontal="center" vertical="center"/>
    </xf>
    <xf numFmtId="179" fontId="17" fillId="0" borderId="0" xfId="0" applyNumberFormat="1" applyFont="1">
      <alignment vertical="center"/>
    </xf>
    <xf numFmtId="179" fontId="17" fillId="0" borderId="0" xfId="0" applyNumberFormat="1" applyFont="1" applyAlignment="1">
      <alignment horizontal="center" vertical="center"/>
    </xf>
    <xf numFmtId="179" fontId="22" fillId="10" borderId="1" xfId="0" applyNumberFormat="1" applyFont="1" applyFill="1" applyBorder="1" applyAlignment="1">
      <alignment horizontal="center" vertical="center"/>
    </xf>
    <xf numFmtId="179" fontId="20" fillId="9" borderId="1" xfId="0" applyNumberFormat="1" applyFont="1" applyFill="1" applyBorder="1" applyAlignment="1">
      <alignment horizontal="center" vertical="center" wrapText="1" readingOrder="1"/>
    </xf>
    <xf numFmtId="0" fontId="26" fillId="11" borderId="21" xfId="0" applyFont="1" applyFill="1" applyBorder="1" applyAlignment="1">
      <alignment horizontal="center" vertical="center"/>
    </xf>
    <xf numFmtId="0" fontId="26" fillId="11" borderId="1" xfId="0" applyFont="1" applyFill="1" applyBorder="1" applyAlignment="1">
      <alignment horizontal="center" vertical="center"/>
    </xf>
    <xf numFmtId="0" fontId="17" fillId="11" borderId="1" xfId="10" applyFont="1" applyFill="1" applyBorder="1" applyAlignment="1">
      <alignment horizontal="center" vertical="center"/>
    </xf>
    <xf numFmtId="179" fontId="26" fillId="11" borderId="1" xfId="0" applyNumberFormat="1" applyFont="1" applyFill="1" applyBorder="1" applyAlignment="1">
      <alignment horizontal="center" vertical="center"/>
    </xf>
    <xf numFmtId="179" fontId="18" fillId="11" borderId="1" xfId="0" applyNumberFormat="1" applyFont="1" applyFill="1" applyBorder="1" applyAlignment="1">
      <alignment horizontal="center" vertical="center" wrapText="1" readingOrder="1"/>
    </xf>
    <xf numFmtId="179" fontId="19" fillId="11" borderId="1" xfId="0" applyNumberFormat="1" applyFont="1" applyFill="1" applyBorder="1" applyAlignment="1">
      <alignment horizontal="center" vertical="center"/>
    </xf>
    <xf numFmtId="2" fontId="19" fillId="11" borderId="1" xfId="0" applyNumberFormat="1" applyFont="1" applyFill="1" applyBorder="1">
      <alignment vertical="center"/>
    </xf>
    <xf numFmtId="2" fontId="26" fillId="11" borderId="1" xfId="0" applyNumberFormat="1" applyFont="1" applyFill="1" applyBorder="1">
      <alignment vertical="center"/>
    </xf>
    <xf numFmtId="179" fontId="26" fillId="11" borderId="1" xfId="0" applyNumberFormat="1" applyFont="1" applyFill="1" applyBorder="1" applyAlignment="1">
      <alignment horizontal="center" vertical="center" wrapText="1" readingOrder="1"/>
    </xf>
    <xf numFmtId="182" fontId="26" fillId="11" borderId="1" xfId="0" applyNumberFormat="1" applyFont="1" applyFill="1" applyBorder="1" applyAlignment="1">
      <alignment horizontal="center" vertical="center"/>
    </xf>
    <xf numFmtId="182" fontId="26" fillId="11" borderId="2" xfId="1" applyNumberFormat="1" applyFont="1" applyFill="1" applyBorder="1">
      <alignment vertical="center"/>
    </xf>
    <xf numFmtId="182" fontId="26" fillId="11" borderId="24" xfId="0" applyNumberFormat="1" applyFont="1" applyFill="1" applyBorder="1" applyAlignment="1">
      <alignment horizontal="center" vertical="center"/>
    </xf>
    <xf numFmtId="182" fontId="26" fillId="11" borderId="3" xfId="0" applyNumberFormat="1" applyFont="1" applyFill="1" applyBorder="1">
      <alignment vertical="center"/>
    </xf>
    <xf numFmtId="0" fontId="18" fillId="12" borderId="2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17" fillId="12" borderId="1" xfId="10" applyFont="1" applyFill="1" applyBorder="1" applyAlignment="1">
      <alignment horizontal="center" vertical="center"/>
    </xf>
    <xf numFmtId="179" fontId="18" fillId="12" borderId="1" xfId="0" applyNumberFormat="1" applyFont="1" applyFill="1" applyBorder="1" applyAlignment="1">
      <alignment horizontal="center" vertical="center"/>
    </xf>
    <xf numFmtId="179" fontId="18" fillId="12" borderId="1" xfId="0" applyNumberFormat="1" applyFont="1" applyFill="1" applyBorder="1" applyAlignment="1">
      <alignment horizontal="center" vertical="center" wrapText="1" readingOrder="1"/>
    </xf>
    <xf numFmtId="179" fontId="19" fillId="12" borderId="1" xfId="0" applyNumberFormat="1" applyFont="1" applyFill="1" applyBorder="1" applyAlignment="1">
      <alignment horizontal="center" vertical="center"/>
    </xf>
    <xf numFmtId="2" fontId="19" fillId="12" borderId="1" xfId="0" applyNumberFormat="1" applyFont="1" applyFill="1" applyBorder="1">
      <alignment vertical="center"/>
    </xf>
    <xf numFmtId="2" fontId="17" fillId="12" borderId="1" xfId="0" applyNumberFormat="1" applyFont="1" applyFill="1" applyBorder="1">
      <alignment vertical="center"/>
    </xf>
    <xf numFmtId="182" fontId="18" fillId="12" borderId="1" xfId="0" applyNumberFormat="1" applyFont="1" applyFill="1" applyBorder="1" applyAlignment="1">
      <alignment horizontal="center" vertical="center"/>
    </xf>
    <xf numFmtId="182" fontId="17" fillId="12" borderId="2" xfId="1" applyNumberFormat="1" applyFont="1" applyFill="1" applyBorder="1">
      <alignment vertical="center"/>
    </xf>
    <xf numFmtId="182" fontId="18" fillId="12" borderId="24" xfId="0" applyNumberFormat="1" applyFont="1" applyFill="1" applyBorder="1" applyAlignment="1">
      <alignment horizontal="center" vertical="center"/>
    </xf>
    <xf numFmtId="182" fontId="17" fillId="12" borderId="3" xfId="0" applyNumberFormat="1" applyFont="1" applyFill="1" applyBorder="1">
      <alignment vertical="center"/>
    </xf>
    <xf numFmtId="182" fontId="17" fillId="12" borderId="1" xfId="0" applyNumberFormat="1" applyFont="1" applyFill="1" applyBorder="1">
      <alignment vertical="center"/>
    </xf>
    <xf numFmtId="179" fontId="26" fillId="12" borderId="1" xfId="0" applyNumberFormat="1" applyFont="1" applyFill="1" applyBorder="1" applyAlignment="1">
      <alignment horizontal="center" vertical="center" wrapText="1" readingOrder="1"/>
    </xf>
    <xf numFmtId="0" fontId="28" fillId="3" borderId="2" xfId="0" applyFont="1" applyFill="1" applyBorder="1" applyAlignment="1" applyProtection="1">
      <alignment horizontal="center" vertical="center"/>
      <protection locked="0"/>
    </xf>
    <xf numFmtId="0" fontId="28" fillId="3" borderId="3" xfId="0" applyFont="1" applyFill="1" applyBorder="1" applyAlignment="1" applyProtection="1">
      <alignment horizontal="center" vertical="center"/>
      <protection locked="0"/>
    </xf>
    <xf numFmtId="177" fontId="41" fillId="3" borderId="2" xfId="0" applyNumberFormat="1" applyFont="1" applyFill="1" applyBorder="1" applyAlignment="1">
      <alignment horizontal="center" vertical="center"/>
    </xf>
    <xf numFmtId="177" fontId="41" fillId="3" borderId="9" xfId="0" applyNumberFormat="1" applyFont="1" applyFill="1" applyBorder="1" applyAlignment="1">
      <alignment horizontal="center" vertical="center"/>
    </xf>
    <xf numFmtId="177" fontId="41" fillId="3" borderId="3" xfId="0" applyNumberFormat="1" applyFont="1" applyFill="1" applyBorder="1" applyAlignment="1">
      <alignment horizontal="center" vertical="center"/>
    </xf>
    <xf numFmtId="177" fontId="41" fillId="3" borderId="1" xfId="0" applyNumberFormat="1" applyFont="1" applyFill="1" applyBorder="1" applyAlignment="1" applyProtection="1">
      <alignment horizontal="center" vertical="center"/>
      <protection locked="0"/>
    </xf>
    <xf numFmtId="3" fontId="41" fillId="3" borderId="2" xfId="0" applyNumberFormat="1" applyFont="1" applyFill="1" applyBorder="1" applyAlignment="1">
      <alignment horizontal="center" vertical="center"/>
    </xf>
    <xf numFmtId="3" fontId="41" fillId="3" borderId="9" xfId="0" applyNumberFormat="1" applyFont="1" applyFill="1" applyBorder="1" applyAlignment="1">
      <alignment horizontal="center" vertical="center"/>
    </xf>
    <xf numFmtId="3" fontId="41" fillId="3" borderId="3" xfId="0" applyNumberFormat="1" applyFont="1" applyFill="1" applyBorder="1" applyAlignment="1">
      <alignment horizontal="center" vertical="center"/>
    </xf>
    <xf numFmtId="0" fontId="49" fillId="3" borderId="5" xfId="0" applyFont="1" applyFill="1" applyBorder="1" applyAlignment="1">
      <alignment horizontal="center" vertical="center"/>
    </xf>
    <xf numFmtId="0" fontId="49" fillId="3" borderId="17" xfId="0" applyFont="1" applyFill="1" applyBorder="1" applyAlignment="1">
      <alignment horizontal="center" vertical="center"/>
    </xf>
    <xf numFmtId="0" fontId="49" fillId="3" borderId="6" xfId="0" applyFont="1" applyFill="1" applyBorder="1" applyAlignment="1">
      <alignment horizontal="center" vertical="center"/>
    </xf>
    <xf numFmtId="0" fontId="41" fillId="3" borderId="5" xfId="0" applyFont="1" applyFill="1" applyBorder="1" applyAlignment="1">
      <alignment horizontal="center" vertical="center"/>
    </xf>
    <xf numFmtId="0" fontId="41" fillId="3" borderId="6" xfId="0" applyFont="1" applyFill="1" applyBorder="1" applyAlignment="1">
      <alignment horizontal="center" vertical="center"/>
    </xf>
    <xf numFmtId="178" fontId="41" fillId="3" borderId="4" xfId="0" applyNumberFormat="1" applyFont="1" applyFill="1" applyBorder="1" applyAlignment="1">
      <alignment horizontal="center" vertical="center"/>
    </xf>
    <xf numFmtId="177" fontId="28" fillId="3" borderId="1" xfId="0" applyNumberFormat="1" applyFont="1" applyFill="1" applyBorder="1" applyAlignment="1">
      <alignment horizontal="center" vertical="center"/>
    </xf>
    <xf numFmtId="181" fontId="28" fillId="3" borderId="4" xfId="0" applyNumberFormat="1" applyFont="1" applyFill="1" applyBorder="1" applyAlignment="1" applyProtection="1">
      <alignment horizontal="center" vertical="center"/>
      <protection locked="0"/>
    </xf>
    <xf numFmtId="0" fontId="28" fillId="3" borderId="4" xfId="0" applyFont="1" applyFill="1" applyBorder="1" applyAlignment="1" applyProtection="1">
      <alignment horizontal="center" vertical="center"/>
      <protection locked="0"/>
    </xf>
    <xf numFmtId="0" fontId="28" fillId="3" borderId="2" xfId="0" applyFont="1" applyFill="1" applyBorder="1" applyAlignment="1" applyProtection="1">
      <alignment horizontal="center" vertical="center"/>
      <protection locked="0"/>
    </xf>
    <xf numFmtId="0" fontId="28" fillId="3" borderId="3" xfId="0" applyFont="1" applyFill="1" applyBorder="1" applyAlignment="1" applyProtection="1">
      <alignment horizontal="center" vertical="center"/>
      <protection locked="0"/>
    </xf>
    <xf numFmtId="0" fontId="50" fillId="3" borderId="2" xfId="0" applyFont="1" applyFill="1" applyBorder="1" applyAlignment="1">
      <alignment horizontal="center" vertical="center"/>
    </xf>
    <xf numFmtId="0" fontId="50" fillId="3" borderId="9" xfId="0" applyFont="1" applyFill="1" applyBorder="1" applyAlignment="1">
      <alignment horizontal="center" vertical="center"/>
    </xf>
    <xf numFmtId="0" fontId="50" fillId="3" borderId="3" xfId="0" applyFont="1" applyFill="1" applyBorder="1" applyAlignment="1">
      <alignment horizontal="center" vertical="center"/>
    </xf>
    <xf numFmtId="0" fontId="28" fillId="3" borderId="5" xfId="0" applyFont="1" applyFill="1" applyBorder="1" applyAlignment="1">
      <alignment horizontal="center" vertical="center"/>
    </xf>
    <xf numFmtId="0" fontId="28" fillId="3" borderId="6" xfId="0" applyFont="1" applyFill="1" applyBorder="1" applyAlignment="1">
      <alignment horizontal="center" vertical="center"/>
    </xf>
    <xf numFmtId="178" fontId="28" fillId="3" borderId="4" xfId="0" applyNumberFormat="1" applyFont="1" applyFill="1" applyBorder="1" applyAlignment="1">
      <alignment horizontal="center" vertical="center"/>
    </xf>
    <xf numFmtId="178" fontId="28" fillId="3" borderId="1" xfId="0" applyNumberFormat="1" applyFont="1" applyFill="1" applyBorder="1" applyAlignment="1">
      <alignment horizontal="center" vertical="center"/>
    </xf>
    <xf numFmtId="0" fontId="37" fillId="7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/>
    </xf>
    <xf numFmtId="0" fontId="31" fillId="7" borderId="1" xfId="0" applyFont="1" applyFill="1" applyBorder="1" applyAlignment="1">
      <alignment horizontal="center" vertical="center"/>
    </xf>
    <xf numFmtId="0" fontId="32" fillId="3" borderId="1" xfId="0" applyFont="1" applyFill="1" applyBorder="1" applyAlignment="1">
      <alignment horizontal="center" vertical="center" wrapText="1"/>
    </xf>
    <xf numFmtId="0" fontId="32" fillId="3" borderId="1" xfId="0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horizontal="center" vertical="center"/>
    </xf>
    <xf numFmtId="0" fontId="35" fillId="3" borderId="1" xfId="0" applyFont="1" applyFill="1" applyBorder="1" applyAlignment="1">
      <alignment horizontal="center" vertical="center"/>
    </xf>
    <xf numFmtId="0" fontId="36" fillId="3" borderId="1" xfId="0" applyFont="1" applyFill="1" applyBorder="1" applyAlignment="1">
      <alignment horizontal="center" vertical="center"/>
    </xf>
    <xf numFmtId="0" fontId="30" fillId="3" borderId="2" xfId="0" applyFont="1" applyFill="1" applyBorder="1" applyAlignment="1">
      <alignment horizontal="center" vertical="center"/>
    </xf>
    <xf numFmtId="0" fontId="30" fillId="3" borderId="9" xfId="0" applyFont="1" applyFill="1" applyBorder="1" applyAlignment="1">
      <alignment horizontal="center" vertical="center"/>
    </xf>
    <xf numFmtId="0" fontId="30" fillId="3" borderId="3" xfId="0" applyFont="1" applyFill="1" applyBorder="1" applyAlignment="1">
      <alignment horizontal="center" vertical="center"/>
    </xf>
    <xf numFmtId="9" fontId="30" fillId="3" borderId="1" xfId="0" applyNumberFormat="1" applyFont="1" applyFill="1" applyBorder="1" applyAlignment="1">
      <alignment horizontal="center" vertical="center"/>
    </xf>
    <xf numFmtId="177" fontId="32" fillId="3" borderId="1" xfId="0" applyNumberFormat="1" applyFont="1" applyFill="1" applyBorder="1" applyAlignment="1">
      <alignment horizontal="center" vertical="center"/>
    </xf>
    <xf numFmtId="181" fontId="32" fillId="3" borderId="2" xfId="0" applyNumberFormat="1" applyFont="1" applyFill="1" applyBorder="1" applyAlignment="1">
      <alignment horizontal="center" vertical="center"/>
    </xf>
    <xf numFmtId="181" fontId="32" fillId="3" borderId="9" xfId="0" applyNumberFormat="1" applyFont="1" applyFill="1" applyBorder="1" applyAlignment="1">
      <alignment horizontal="center" vertical="center"/>
    </xf>
    <xf numFmtId="181" fontId="32" fillId="3" borderId="3" xfId="0" applyNumberFormat="1" applyFont="1" applyFill="1" applyBorder="1" applyAlignment="1">
      <alignment horizontal="center" vertical="center"/>
    </xf>
    <xf numFmtId="0" fontId="31" fillId="7" borderId="2" xfId="0" applyFont="1" applyFill="1" applyBorder="1" applyAlignment="1">
      <alignment horizontal="center" vertical="center"/>
    </xf>
    <xf numFmtId="0" fontId="31" fillId="7" borderId="9" xfId="0" applyFont="1" applyFill="1" applyBorder="1" applyAlignment="1">
      <alignment horizontal="center" vertical="center"/>
    </xf>
    <xf numFmtId="0" fontId="31" fillId="7" borderId="3" xfId="0" applyFont="1" applyFill="1" applyBorder="1" applyAlignment="1">
      <alignment horizontal="center" vertical="center"/>
    </xf>
    <xf numFmtId="9" fontId="30" fillId="3" borderId="2" xfId="0" applyNumberFormat="1" applyFont="1" applyFill="1" applyBorder="1" applyAlignment="1">
      <alignment horizontal="center" vertical="center"/>
    </xf>
    <xf numFmtId="9" fontId="30" fillId="3" borderId="3" xfId="0" applyNumberFormat="1" applyFont="1" applyFill="1" applyBorder="1" applyAlignment="1">
      <alignment horizontal="center" vertical="center"/>
    </xf>
    <xf numFmtId="14" fontId="30" fillId="3" borderId="10" xfId="0" applyNumberFormat="1" applyFont="1" applyFill="1" applyBorder="1" applyAlignment="1">
      <alignment horizontal="right" vertical="center"/>
    </xf>
    <xf numFmtId="0" fontId="30" fillId="3" borderId="10" xfId="0" applyFont="1" applyFill="1" applyBorder="1" applyAlignment="1">
      <alignment horizontal="right" vertical="center"/>
    </xf>
    <xf numFmtId="0" fontId="28" fillId="7" borderId="18" xfId="0" applyFont="1" applyFill="1" applyBorder="1" applyAlignment="1">
      <alignment horizontal="center" vertical="center"/>
    </xf>
    <xf numFmtId="0" fontId="28" fillId="7" borderId="19" xfId="0" applyFont="1" applyFill="1" applyBorder="1" applyAlignment="1">
      <alignment horizontal="center" vertical="center"/>
    </xf>
    <xf numFmtId="0" fontId="28" fillId="7" borderId="20" xfId="0" applyFont="1" applyFill="1" applyBorder="1" applyAlignment="1">
      <alignment horizontal="center" vertical="center"/>
    </xf>
    <xf numFmtId="179" fontId="28" fillId="7" borderId="11" xfId="0" applyNumberFormat="1" applyFont="1" applyFill="1" applyBorder="1" applyAlignment="1">
      <alignment horizontal="center" vertical="center"/>
    </xf>
    <xf numFmtId="177" fontId="28" fillId="7" borderId="11" xfId="0" applyNumberFormat="1" applyFont="1" applyFill="1" applyBorder="1" applyAlignment="1">
      <alignment horizontal="center" vertical="center"/>
    </xf>
    <xf numFmtId="176" fontId="28" fillId="7" borderId="11" xfId="0" applyNumberFormat="1" applyFont="1" applyFill="1" applyBorder="1" applyAlignment="1">
      <alignment horizontal="center" vertical="center"/>
    </xf>
    <xf numFmtId="176" fontId="28" fillId="7" borderId="12" xfId="0" applyNumberFormat="1" applyFont="1" applyFill="1" applyBorder="1" applyAlignment="1">
      <alignment horizontal="center" vertical="center"/>
    </xf>
    <xf numFmtId="0" fontId="28" fillId="3" borderId="2" xfId="0" applyFont="1" applyFill="1" applyBorder="1" applyAlignment="1">
      <alignment horizontal="center" vertical="center"/>
    </xf>
    <xf numFmtId="0" fontId="28" fillId="3" borderId="3" xfId="0" applyFont="1" applyFill="1" applyBorder="1" applyAlignment="1">
      <alignment horizontal="center" vertical="center"/>
    </xf>
    <xf numFmtId="181" fontId="28" fillId="3" borderId="1" xfId="0" applyNumberFormat="1" applyFont="1" applyFill="1" applyBorder="1" applyAlignment="1" applyProtection="1">
      <alignment horizontal="center" vertical="center"/>
      <protection locked="0"/>
    </xf>
    <xf numFmtId="0" fontId="28" fillId="3" borderId="1" xfId="0" applyFont="1" applyFill="1" applyBorder="1" applyAlignment="1" applyProtection="1">
      <alignment horizontal="center" vertical="center"/>
      <protection locked="0"/>
    </xf>
    <xf numFmtId="9" fontId="27" fillId="7" borderId="1" xfId="0" applyNumberFormat="1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177" fontId="28" fillId="3" borderId="1" xfId="0" applyNumberFormat="1" applyFont="1" applyFill="1" applyBorder="1" applyAlignment="1" applyProtection="1">
      <alignment horizontal="center" vertical="center"/>
      <protection locked="0"/>
    </xf>
    <xf numFmtId="177" fontId="28" fillId="3" borderId="2" xfId="0" applyNumberFormat="1" applyFont="1" applyFill="1" applyBorder="1" applyAlignment="1">
      <alignment horizontal="center" vertical="center"/>
    </xf>
    <xf numFmtId="177" fontId="28" fillId="3" borderId="9" xfId="0" applyNumberFormat="1" applyFont="1" applyFill="1" applyBorder="1" applyAlignment="1">
      <alignment horizontal="center" vertical="center"/>
    </xf>
    <xf numFmtId="177" fontId="28" fillId="3" borderId="3" xfId="0" applyNumberFormat="1" applyFont="1" applyFill="1" applyBorder="1" applyAlignment="1">
      <alignment horizontal="center" vertical="center"/>
    </xf>
    <xf numFmtId="0" fontId="27" fillId="7" borderId="5" xfId="0" applyFont="1" applyFill="1" applyBorder="1" applyAlignment="1">
      <alignment horizontal="center" vertical="center" wrapText="1"/>
    </xf>
    <xf numFmtId="0" fontId="27" fillId="7" borderId="17" xfId="0" applyFont="1" applyFill="1" applyBorder="1" applyAlignment="1">
      <alignment horizontal="center" vertical="center" wrapText="1"/>
    </xf>
    <xf numFmtId="0" fontId="27" fillId="7" borderId="6" xfId="0" applyFont="1" applyFill="1" applyBorder="1" applyAlignment="1">
      <alignment horizontal="center" vertical="center" wrapText="1"/>
    </xf>
    <xf numFmtId="0" fontId="27" fillId="7" borderId="7" xfId="0" applyFont="1" applyFill="1" applyBorder="1" applyAlignment="1">
      <alignment horizontal="center" vertical="center" wrapText="1"/>
    </xf>
    <xf numFmtId="0" fontId="27" fillId="7" borderId="10" xfId="0" applyFont="1" applyFill="1" applyBorder="1" applyAlignment="1">
      <alignment horizontal="center" vertical="center" wrapText="1"/>
    </xf>
    <xf numFmtId="0" fontId="27" fillId="7" borderId="8" xfId="0" applyFont="1" applyFill="1" applyBorder="1" applyAlignment="1">
      <alignment horizontal="center" vertical="center" wrapText="1"/>
    </xf>
    <xf numFmtId="14" fontId="12" fillId="3" borderId="10" xfId="0" applyNumberFormat="1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right" vertical="center"/>
    </xf>
    <xf numFmtId="0" fontId="27" fillId="7" borderId="5" xfId="0" applyFont="1" applyFill="1" applyBorder="1" applyAlignment="1">
      <alignment horizontal="center" vertical="center"/>
    </xf>
    <xf numFmtId="0" fontId="27" fillId="7" borderId="6" xfId="0" applyFont="1" applyFill="1" applyBorder="1" applyAlignment="1">
      <alignment horizontal="center" vertical="center"/>
    </xf>
    <xf numFmtId="0" fontId="27" fillId="7" borderId="15" xfId="0" applyFont="1" applyFill="1" applyBorder="1" applyAlignment="1">
      <alignment horizontal="center" vertical="center"/>
    </xf>
    <xf numFmtId="0" fontId="27" fillId="7" borderId="16" xfId="0" applyFont="1" applyFill="1" applyBorder="1" applyAlignment="1">
      <alignment horizontal="center" vertical="center"/>
    </xf>
    <xf numFmtId="0" fontId="27" fillId="7" borderId="7" xfId="0" applyFont="1" applyFill="1" applyBorder="1" applyAlignment="1">
      <alignment horizontal="center" vertical="center"/>
    </xf>
    <xf numFmtId="0" fontId="27" fillId="7" borderId="8" xfId="0" applyFont="1" applyFill="1" applyBorder="1" applyAlignment="1">
      <alignment horizontal="center" vertical="center"/>
    </xf>
    <xf numFmtId="0" fontId="27" fillId="7" borderId="17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7" borderId="10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 wrapText="1"/>
    </xf>
    <xf numFmtId="0" fontId="42" fillId="6" borderId="1" xfId="0" applyFont="1" applyFill="1" applyBorder="1" applyAlignment="1">
      <alignment horizontal="center" vertical="center"/>
    </xf>
    <xf numFmtId="0" fontId="39" fillId="3" borderId="1" xfId="0" applyFont="1" applyFill="1" applyBorder="1" applyAlignment="1">
      <alignment horizontal="center" vertical="center"/>
    </xf>
    <xf numFmtId="0" fontId="43" fillId="3" borderId="1" xfId="0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0" fontId="44" fillId="3" borderId="1" xfId="0" applyFont="1" applyFill="1" applyBorder="1" applyAlignment="1">
      <alignment horizontal="center" vertical="center"/>
    </xf>
    <xf numFmtId="0" fontId="45" fillId="3" borderId="1" xfId="0" applyFont="1" applyFill="1" applyBorder="1" applyAlignment="1">
      <alignment horizontal="center" vertical="center"/>
    </xf>
    <xf numFmtId="0" fontId="46" fillId="3" borderId="1" xfId="0" applyFont="1" applyFill="1" applyBorder="1" applyAlignment="1">
      <alignment horizontal="center" vertical="center"/>
    </xf>
    <xf numFmtId="0" fontId="42" fillId="6" borderId="2" xfId="0" applyFont="1" applyFill="1" applyBorder="1" applyAlignment="1">
      <alignment horizontal="center" vertical="center"/>
    </xf>
    <xf numFmtId="0" fontId="42" fillId="6" borderId="9" xfId="0" applyFont="1" applyFill="1" applyBorder="1" applyAlignment="1">
      <alignment horizontal="center" vertical="center"/>
    </xf>
    <xf numFmtId="0" fontId="42" fillId="6" borderId="3" xfId="0" applyFont="1" applyFill="1" applyBorder="1" applyAlignment="1">
      <alignment horizontal="center" vertical="center"/>
    </xf>
    <xf numFmtId="9" fontId="39" fillId="3" borderId="2" xfId="0" applyNumberFormat="1" applyFont="1" applyFill="1" applyBorder="1" applyAlignment="1">
      <alignment horizontal="center" vertical="center"/>
    </xf>
    <xf numFmtId="9" fontId="39" fillId="3" borderId="3" xfId="0" applyNumberFormat="1" applyFont="1" applyFill="1" applyBorder="1" applyAlignment="1">
      <alignment horizontal="center" vertical="center"/>
    </xf>
    <xf numFmtId="0" fontId="39" fillId="3" borderId="2" xfId="0" applyFont="1" applyFill="1" applyBorder="1" applyAlignment="1">
      <alignment horizontal="center" vertical="center"/>
    </xf>
    <xf numFmtId="0" fontId="39" fillId="3" borderId="9" xfId="0" applyFont="1" applyFill="1" applyBorder="1" applyAlignment="1">
      <alignment horizontal="center" vertical="center"/>
    </xf>
    <xf numFmtId="0" fontId="39" fillId="3" borderId="3" xfId="0" applyFont="1" applyFill="1" applyBorder="1" applyAlignment="1">
      <alignment horizontal="center" vertical="center"/>
    </xf>
    <xf numFmtId="181" fontId="39" fillId="3" borderId="2" xfId="0" applyNumberFormat="1" applyFont="1" applyFill="1" applyBorder="1" applyAlignment="1">
      <alignment horizontal="center" vertical="center"/>
    </xf>
    <xf numFmtId="181" fontId="39" fillId="3" borderId="9" xfId="0" applyNumberFormat="1" applyFont="1" applyFill="1" applyBorder="1" applyAlignment="1">
      <alignment horizontal="center" vertical="center"/>
    </xf>
    <xf numFmtId="181" fontId="39" fillId="3" borderId="3" xfId="0" applyNumberFormat="1" applyFont="1" applyFill="1" applyBorder="1" applyAlignment="1">
      <alignment horizontal="center" vertical="center"/>
    </xf>
    <xf numFmtId="9" fontId="39" fillId="3" borderId="1" xfId="0" applyNumberFormat="1" applyFont="1" applyFill="1" applyBorder="1" applyAlignment="1">
      <alignment horizontal="center" vertical="center"/>
    </xf>
    <xf numFmtId="177" fontId="43" fillId="3" borderId="1" xfId="0" applyNumberFormat="1" applyFont="1" applyFill="1" applyBorder="1" applyAlignment="1">
      <alignment horizontal="center" vertical="center"/>
    </xf>
    <xf numFmtId="180" fontId="43" fillId="3" borderId="1" xfId="0" applyNumberFormat="1" applyFont="1" applyFill="1" applyBorder="1" applyAlignment="1">
      <alignment horizontal="center" vertical="center"/>
    </xf>
    <xf numFmtId="14" fontId="39" fillId="3" borderId="10" xfId="0" applyNumberFormat="1" applyFont="1" applyFill="1" applyBorder="1" applyAlignment="1">
      <alignment horizontal="right" vertical="center"/>
    </xf>
    <xf numFmtId="0" fontId="39" fillId="3" borderId="10" xfId="0" applyFont="1" applyFill="1" applyBorder="1" applyAlignment="1">
      <alignment horizontal="right" vertical="center"/>
    </xf>
    <xf numFmtId="0" fontId="41" fillId="6" borderId="18" xfId="0" applyFont="1" applyFill="1" applyBorder="1" applyAlignment="1">
      <alignment horizontal="center" vertical="center"/>
    </xf>
    <xf numFmtId="0" fontId="41" fillId="6" borderId="19" xfId="0" applyFont="1" applyFill="1" applyBorder="1" applyAlignment="1">
      <alignment horizontal="center" vertical="center"/>
    </xf>
    <xf numFmtId="0" fontId="41" fillId="6" borderId="20" xfId="0" applyFont="1" applyFill="1" applyBorder="1" applyAlignment="1">
      <alignment horizontal="center" vertical="center"/>
    </xf>
    <xf numFmtId="179" fontId="41" fillId="6" borderId="11" xfId="0" applyNumberFormat="1" applyFont="1" applyFill="1" applyBorder="1" applyAlignment="1">
      <alignment horizontal="center" vertical="center"/>
    </xf>
    <xf numFmtId="177" fontId="41" fillId="6" borderId="11" xfId="0" applyNumberFormat="1" applyFont="1" applyFill="1" applyBorder="1" applyAlignment="1">
      <alignment horizontal="center" vertical="center"/>
    </xf>
    <xf numFmtId="178" fontId="41" fillId="3" borderId="4" xfId="0" applyNumberFormat="1" applyFont="1" applyFill="1" applyBorder="1" applyAlignment="1">
      <alignment horizontal="center" vertical="center"/>
    </xf>
    <xf numFmtId="3" fontId="41" fillId="3" borderId="2" xfId="0" applyNumberFormat="1" applyFont="1" applyFill="1" applyBorder="1" applyAlignment="1">
      <alignment horizontal="center" vertical="center"/>
    </xf>
    <xf numFmtId="3" fontId="41" fillId="3" borderId="9" xfId="0" applyNumberFormat="1" applyFont="1" applyFill="1" applyBorder="1" applyAlignment="1">
      <alignment horizontal="center" vertical="center"/>
    </xf>
    <xf numFmtId="3" fontId="41" fillId="3" borderId="3" xfId="0" applyNumberFormat="1" applyFont="1" applyFill="1" applyBorder="1" applyAlignment="1">
      <alignment horizontal="center" vertical="center"/>
    </xf>
    <xf numFmtId="177" fontId="41" fillId="3" borderId="2" xfId="0" applyNumberFormat="1" applyFont="1" applyFill="1" applyBorder="1" applyAlignment="1">
      <alignment horizontal="center" vertical="center"/>
    </xf>
    <xf numFmtId="177" fontId="41" fillId="3" borderId="9" xfId="0" applyNumberFormat="1" applyFont="1" applyFill="1" applyBorder="1" applyAlignment="1">
      <alignment horizontal="center" vertical="center"/>
    </xf>
    <xf numFmtId="177" fontId="41" fillId="3" borderId="3" xfId="0" applyNumberFormat="1" applyFont="1" applyFill="1" applyBorder="1" applyAlignment="1">
      <alignment horizontal="center" vertical="center"/>
    </xf>
    <xf numFmtId="177" fontId="41" fillId="3" borderId="1" xfId="0" applyNumberFormat="1" applyFont="1" applyFill="1" applyBorder="1" applyAlignment="1" applyProtection="1">
      <alignment horizontal="center" vertical="center"/>
      <protection locked="0"/>
    </xf>
    <xf numFmtId="176" fontId="41" fillId="6" borderId="11" xfId="0" applyNumberFormat="1" applyFont="1" applyFill="1" applyBorder="1" applyAlignment="1">
      <alignment horizontal="center" vertical="center"/>
    </xf>
    <xf numFmtId="176" fontId="41" fillId="6" borderId="12" xfId="0" applyNumberFormat="1" applyFont="1" applyFill="1" applyBorder="1" applyAlignment="1">
      <alignment horizontal="center" vertical="center"/>
    </xf>
    <xf numFmtId="0" fontId="49" fillId="3" borderId="5" xfId="0" applyFont="1" applyFill="1" applyBorder="1" applyAlignment="1">
      <alignment horizontal="center" vertical="center"/>
    </xf>
    <xf numFmtId="0" fontId="49" fillId="3" borderId="17" xfId="0" applyFont="1" applyFill="1" applyBorder="1" applyAlignment="1">
      <alignment horizontal="center" vertical="center"/>
    </xf>
    <xf numFmtId="0" fontId="49" fillId="3" borderId="6" xfId="0" applyFont="1" applyFill="1" applyBorder="1" applyAlignment="1">
      <alignment horizontal="center" vertical="center"/>
    </xf>
    <xf numFmtId="0" fontId="41" fillId="3" borderId="5" xfId="0" applyFont="1" applyFill="1" applyBorder="1" applyAlignment="1">
      <alignment horizontal="center" vertical="center"/>
    </xf>
    <xf numFmtId="0" fontId="41" fillId="3" borderId="6" xfId="0" applyFont="1" applyFill="1" applyBorder="1" applyAlignment="1">
      <alignment horizontal="center" vertical="center"/>
    </xf>
    <xf numFmtId="3" fontId="41" fillId="0" borderId="2" xfId="0" applyNumberFormat="1" applyFont="1" applyBorder="1" applyAlignment="1">
      <alignment horizontal="center" vertical="center"/>
    </xf>
    <xf numFmtId="3" fontId="41" fillId="0" borderId="9" xfId="0" applyNumberFormat="1" applyFont="1" applyBorder="1" applyAlignment="1">
      <alignment horizontal="center" vertical="center"/>
    </xf>
    <xf numFmtId="3" fontId="41" fillId="0" borderId="3" xfId="0" applyNumberFormat="1" applyFont="1" applyBorder="1" applyAlignment="1">
      <alignment horizontal="center" vertical="center"/>
    </xf>
    <xf numFmtId="177" fontId="41" fillId="0" borderId="2" xfId="0" applyNumberFormat="1" applyFont="1" applyBorder="1" applyAlignment="1">
      <alignment horizontal="center" vertical="center"/>
    </xf>
    <xf numFmtId="177" fontId="41" fillId="0" borderId="9" xfId="0" applyNumberFormat="1" applyFont="1" applyBorder="1" applyAlignment="1">
      <alignment horizontal="center" vertical="center"/>
    </xf>
    <xf numFmtId="177" fontId="41" fillId="0" borderId="3" xfId="0" applyNumberFormat="1" applyFont="1" applyBorder="1" applyAlignment="1">
      <alignment horizontal="center" vertical="center"/>
    </xf>
    <xf numFmtId="177" fontId="41" fillId="0" borderId="1" xfId="0" applyNumberFormat="1" applyFont="1" applyBorder="1" applyAlignment="1" applyProtection="1">
      <alignment horizontal="center" vertical="center"/>
      <protection locked="0"/>
    </xf>
    <xf numFmtId="0" fontId="49" fillId="0" borderId="5" xfId="0" applyFont="1" applyBorder="1" applyAlignment="1">
      <alignment horizontal="center" vertical="center"/>
    </xf>
    <xf numFmtId="0" fontId="49" fillId="0" borderId="17" xfId="0" applyFont="1" applyBorder="1" applyAlignment="1">
      <alignment horizontal="center" vertical="center"/>
    </xf>
    <xf numFmtId="0" fontId="49" fillId="0" borderId="6" xfId="0" applyFont="1" applyBorder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0" fontId="41" fillId="0" borderId="6" xfId="0" applyFont="1" applyBorder="1" applyAlignment="1">
      <alignment horizontal="center" vertical="center"/>
    </xf>
    <xf numFmtId="178" fontId="41" fillId="0" borderId="4" xfId="0" applyNumberFormat="1" applyFont="1" applyBorder="1" applyAlignment="1">
      <alignment horizontal="center" vertical="center"/>
    </xf>
    <xf numFmtId="0" fontId="40" fillId="6" borderId="5" xfId="0" applyFont="1" applyFill="1" applyBorder="1" applyAlignment="1">
      <alignment horizontal="center" vertical="center"/>
    </xf>
    <xf numFmtId="0" fontId="40" fillId="6" borderId="6" xfId="0" applyFont="1" applyFill="1" applyBorder="1" applyAlignment="1">
      <alignment horizontal="center" vertical="center"/>
    </xf>
    <xf numFmtId="0" fontId="40" fillId="6" borderId="15" xfId="0" applyFont="1" applyFill="1" applyBorder="1" applyAlignment="1">
      <alignment horizontal="center" vertical="center"/>
    </xf>
    <xf numFmtId="0" fontId="40" fillId="6" borderId="16" xfId="0" applyFont="1" applyFill="1" applyBorder="1" applyAlignment="1">
      <alignment horizontal="center" vertical="center"/>
    </xf>
    <xf numFmtId="0" fontId="40" fillId="6" borderId="7" xfId="0" applyFont="1" applyFill="1" applyBorder="1" applyAlignment="1">
      <alignment horizontal="center" vertical="center"/>
    </xf>
    <xf numFmtId="0" fontId="40" fillId="6" borderId="8" xfId="0" applyFont="1" applyFill="1" applyBorder="1" applyAlignment="1">
      <alignment horizontal="center" vertical="center"/>
    </xf>
    <xf numFmtId="0" fontId="40" fillId="6" borderId="17" xfId="0" applyFont="1" applyFill="1" applyBorder="1" applyAlignment="1">
      <alignment horizontal="center" vertical="center"/>
    </xf>
    <xf numFmtId="0" fontId="40" fillId="6" borderId="0" xfId="0" applyFont="1" applyFill="1" applyAlignment="1">
      <alignment horizontal="center" vertical="center"/>
    </xf>
    <xf numFmtId="0" fontId="40" fillId="6" borderId="10" xfId="0" applyFont="1" applyFill="1" applyBorder="1" applyAlignment="1">
      <alignment horizontal="center" vertical="center"/>
    </xf>
    <xf numFmtId="0" fontId="40" fillId="6" borderId="1" xfId="0" applyFont="1" applyFill="1" applyBorder="1" applyAlignment="1">
      <alignment horizontal="center" vertical="center"/>
    </xf>
    <xf numFmtId="0" fontId="40" fillId="6" borderId="1" xfId="0" applyFont="1" applyFill="1" applyBorder="1" applyAlignment="1">
      <alignment horizontal="center" vertical="center" wrapText="1"/>
    </xf>
    <xf numFmtId="9" fontId="40" fillId="6" borderId="1" xfId="0" applyNumberFormat="1" applyFont="1" applyFill="1" applyBorder="1" applyAlignment="1">
      <alignment horizontal="center" vertical="center"/>
    </xf>
    <xf numFmtId="0" fontId="40" fillId="6" borderId="5" xfId="0" applyFont="1" applyFill="1" applyBorder="1" applyAlignment="1">
      <alignment horizontal="center" vertical="center" wrapText="1"/>
    </xf>
    <xf numFmtId="0" fontId="40" fillId="6" borderId="17" xfId="0" applyFont="1" applyFill="1" applyBorder="1" applyAlignment="1">
      <alignment horizontal="center" vertical="center" wrapText="1"/>
    </xf>
    <xf numFmtId="0" fontId="40" fillId="6" borderId="6" xfId="0" applyFont="1" applyFill="1" applyBorder="1" applyAlignment="1">
      <alignment horizontal="center" vertical="center" wrapText="1"/>
    </xf>
    <xf numFmtId="0" fontId="40" fillId="6" borderId="7" xfId="0" applyFont="1" applyFill="1" applyBorder="1" applyAlignment="1">
      <alignment horizontal="center" vertical="center" wrapText="1"/>
    </xf>
    <xf numFmtId="0" fontId="40" fillId="6" borderId="10" xfId="0" applyFont="1" applyFill="1" applyBorder="1" applyAlignment="1">
      <alignment horizontal="center" vertical="center" wrapText="1"/>
    </xf>
    <xf numFmtId="0" fontId="40" fillId="6" borderId="8" xfId="0" applyFont="1" applyFill="1" applyBorder="1" applyAlignment="1">
      <alignment horizontal="center" vertical="center" wrapText="1"/>
    </xf>
    <xf numFmtId="14" fontId="15" fillId="3" borderId="10" xfId="0" applyNumberFormat="1" applyFont="1" applyFill="1" applyBorder="1" applyAlignment="1">
      <alignment horizontal="center" vertical="center"/>
    </xf>
    <xf numFmtId="0" fontId="41" fillId="3" borderId="2" xfId="0" applyFont="1" applyFill="1" applyBorder="1" applyAlignment="1" applyProtection="1">
      <alignment horizontal="center" vertical="center"/>
      <protection locked="0"/>
    </xf>
    <xf numFmtId="0" fontId="41" fillId="3" borderId="3" xfId="0" applyFont="1" applyFill="1" applyBorder="1" applyAlignment="1" applyProtection="1">
      <alignment horizontal="center" vertical="center"/>
      <protection locked="0"/>
    </xf>
    <xf numFmtId="0" fontId="11" fillId="5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9" fontId="10" fillId="3" borderId="2" xfId="0" applyNumberFormat="1" applyFont="1" applyFill="1" applyBorder="1" applyAlignment="1">
      <alignment horizontal="center" vertical="center"/>
    </xf>
    <xf numFmtId="9" fontId="10" fillId="3" borderId="3" xfId="0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9" fontId="10" fillId="3" borderId="1" xfId="0" applyNumberFormat="1" applyFont="1" applyFill="1" applyBorder="1" applyAlignment="1">
      <alignment horizontal="center" vertical="center"/>
    </xf>
    <xf numFmtId="177" fontId="12" fillId="3" borderId="1" xfId="0" applyNumberFormat="1" applyFont="1" applyFill="1" applyBorder="1" applyAlignment="1">
      <alignment horizontal="center" vertical="center"/>
    </xf>
    <xf numFmtId="180" fontId="12" fillId="3" borderId="1" xfId="0" applyNumberFormat="1" applyFont="1" applyFill="1" applyBorder="1" applyAlignment="1">
      <alignment horizontal="center" vertical="center"/>
    </xf>
    <xf numFmtId="177" fontId="15" fillId="5" borderId="11" xfId="0" applyNumberFormat="1" applyFont="1" applyFill="1" applyBorder="1" applyAlignment="1">
      <alignment horizontal="center" vertical="center"/>
    </xf>
    <xf numFmtId="176" fontId="15" fillId="5" borderId="11" xfId="0" applyNumberFormat="1" applyFont="1" applyFill="1" applyBorder="1" applyAlignment="1">
      <alignment horizontal="center" vertical="center"/>
    </xf>
    <xf numFmtId="176" fontId="15" fillId="5" borderId="12" xfId="0" applyNumberFormat="1" applyFont="1" applyFill="1" applyBorder="1" applyAlignment="1">
      <alignment horizontal="center" vertical="center"/>
    </xf>
    <xf numFmtId="14" fontId="10" fillId="3" borderId="10" xfId="0" applyNumberFormat="1" applyFont="1" applyFill="1" applyBorder="1" applyAlignment="1">
      <alignment horizontal="right" vertical="center"/>
    </xf>
    <xf numFmtId="179" fontId="16" fillId="5" borderId="11" xfId="0" applyNumberFormat="1" applyFont="1" applyFill="1" applyBorder="1" applyAlignment="1">
      <alignment horizontal="center" vertical="center"/>
    </xf>
    <xf numFmtId="177" fontId="15" fillId="3" borderId="1" xfId="0" applyNumberFormat="1" applyFont="1" applyFill="1" applyBorder="1" applyAlignment="1">
      <alignment horizontal="center" vertical="center"/>
    </xf>
    <xf numFmtId="176" fontId="15" fillId="3" borderId="4" xfId="0" applyNumberFormat="1" applyFont="1" applyFill="1" applyBorder="1" applyAlignment="1">
      <alignment horizontal="center" vertical="center"/>
    </xf>
    <xf numFmtId="0" fontId="10" fillId="5" borderId="18" xfId="0" applyFont="1" applyFill="1" applyBorder="1" applyAlignment="1">
      <alignment horizontal="center" vertical="center"/>
    </xf>
    <xf numFmtId="0" fontId="10" fillId="5" borderId="19" xfId="0" applyFont="1" applyFill="1" applyBorder="1" applyAlignment="1">
      <alignment horizontal="center" vertical="center"/>
    </xf>
    <xf numFmtId="0" fontId="10" fillId="5" borderId="20" xfId="0" applyFont="1" applyFill="1" applyBorder="1" applyAlignment="1">
      <alignment horizontal="center" vertical="center"/>
    </xf>
    <xf numFmtId="2" fontId="15" fillId="3" borderId="1" xfId="0" applyNumberFormat="1" applyFont="1" applyFill="1" applyBorder="1" applyAlignment="1">
      <alignment horizontal="center" vertical="center"/>
    </xf>
    <xf numFmtId="176" fontId="15" fillId="3" borderId="1" xfId="0" applyNumberFormat="1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center" vertical="center"/>
    </xf>
    <xf numFmtId="0" fontId="11" fillId="5" borderId="16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1" fillId="5" borderId="17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9" fontId="11" fillId="5" borderId="1" xfId="0" applyNumberFormat="1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5" borderId="18" xfId="0" applyFont="1" applyFill="1" applyBorder="1" applyAlignment="1">
      <alignment horizontal="center" vertical="center"/>
    </xf>
    <xf numFmtId="0" fontId="15" fillId="5" borderId="19" xfId="0" applyFont="1" applyFill="1" applyBorder="1" applyAlignment="1">
      <alignment horizontal="center" vertical="center"/>
    </xf>
    <xf numFmtId="0" fontId="15" fillId="5" borderId="20" xfId="0" applyFont="1" applyFill="1" applyBorder="1" applyAlignment="1">
      <alignment horizontal="center" vertical="center"/>
    </xf>
    <xf numFmtId="177" fontId="15" fillId="3" borderId="4" xfId="0" applyNumberFormat="1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178" fontId="15" fillId="3" borderId="1" xfId="0" applyNumberFormat="1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182" fontId="23" fillId="10" borderId="36" xfId="0" applyNumberFormat="1" applyFont="1" applyFill="1" applyBorder="1" applyAlignment="1">
      <alignment horizontal="center" vertical="center" wrapText="1"/>
    </xf>
    <xf numFmtId="182" fontId="23" fillId="10" borderId="41" xfId="0" applyNumberFormat="1" applyFont="1" applyFill="1" applyBorder="1" applyAlignment="1">
      <alignment horizontal="center" vertical="center" wrapText="1"/>
    </xf>
    <xf numFmtId="182" fontId="23" fillId="10" borderId="46" xfId="0" applyNumberFormat="1" applyFont="1" applyFill="1" applyBorder="1" applyAlignment="1">
      <alignment horizontal="center" vertical="center" wrapText="1"/>
    </xf>
    <xf numFmtId="182" fontId="17" fillId="0" borderId="37" xfId="0" applyNumberFormat="1" applyFont="1" applyBorder="1" applyAlignment="1">
      <alignment horizontal="center" vertical="center"/>
    </xf>
    <xf numFmtId="182" fontId="17" fillId="0" borderId="38" xfId="0" applyNumberFormat="1" applyFont="1" applyBorder="1" applyAlignment="1">
      <alignment horizontal="center" vertical="center"/>
    </xf>
    <xf numFmtId="182" fontId="17" fillId="0" borderId="42" xfId="0" applyNumberFormat="1" applyFont="1" applyBorder="1" applyAlignment="1">
      <alignment horizontal="center" vertical="center"/>
    </xf>
    <xf numFmtId="182" fontId="17" fillId="0" borderId="43" xfId="0" applyNumberFormat="1" applyFont="1" applyBorder="1" applyAlignment="1">
      <alignment horizontal="center" vertical="center"/>
    </xf>
    <xf numFmtId="0" fontId="25" fillId="10" borderId="2" xfId="0" applyFont="1" applyFill="1" applyBorder="1" applyAlignment="1">
      <alignment horizontal="center" vertical="center"/>
    </xf>
    <xf numFmtId="0" fontId="25" fillId="10" borderId="3" xfId="0" applyFont="1" applyFill="1" applyBorder="1" applyAlignment="1">
      <alignment horizontal="center" vertical="center"/>
    </xf>
    <xf numFmtId="0" fontId="22" fillId="10" borderId="30" xfId="0" applyFont="1" applyFill="1" applyBorder="1" applyAlignment="1">
      <alignment horizontal="center" vertical="center"/>
    </xf>
    <xf numFmtId="0" fontId="22" fillId="10" borderId="31" xfId="0" applyFont="1" applyFill="1" applyBorder="1" applyAlignment="1">
      <alignment horizontal="center" vertical="center"/>
    </xf>
    <xf numFmtId="0" fontId="22" fillId="10" borderId="7" xfId="0" applyFont="1" applyFill="1" applyBorder="1" applyAlignment="1">
      <alignment horizontal="center" vertical="center"/>
    </xf>
    <xf numFmtId="0" fontId="22" fillId="10" borderId="8" xfId="0" applyFont="1" applyFill="1" applyBorder="1" applyAlignment="1">
      <alignment horizontal="center" vertical="center"/>
    </xf>
    <xf numFmtId="0" fontId="22" fillId="10" borderId="34" xfId="0" applyFont="1" applyFill="1" applyBorder="1" applyAlignment="1">
      <alignment horizontal="center" vertical="center"/>
    </xf>
    <xf numFmtId="0" fontId="22" fillId="10" borderId="10" xfId="0" applyFont="1" applyFill="1" applyBorder="1" applyAlignment="1">
      <alignment horizontal="center" vertical="center"/>
    </xf>
    <xf numFmtId="182" fontId="22" fillId="10" borderId="30" xfId="0" applyNumberFormat="1" applyFont="1" applyFill="1" applyBorder="1" applyAlignment="1">
      <alignment horizontal="center" vertical="center"/>
    </xf>
    <xf numFmtId="182" fontId="22" fillId="10" borderId="34" xfId="0" applyNumberFormat="1" applyFont="1" applyFill="1" applyBorder="1" applyAlignment="1">
      <alignment horizontal="center" vertical="center"/>
    </xf>
    <xf numFmtId="182" fontId="22" fillId="10" borderId="31" xfId="0" applyNumberFormat="1" applyFont="1" applyFill="1" applyBorder="1" applyAlignment="1">
      <alignment horizontal="center" vertical="center"/>
    </xf>
    <xf numFmtId="182" fontId="22" fillId="10" borderId="7" xfId="0" applyNumberFormat="1" applyFont="1" applyFill="1" applyBorder="1" applyAlignment="1">
      <alignment horizontal="center" vertical="center"/>
    </xf>
    <xf numFmtId="182" fontId="22" fillId="10" borderId="10" xfId="0" applyNumberFormat="1" applyFont="1" applyFill="1" applyBorder="1" applyAlignment="1">
      <alignment horizontal="center" vertical="center"/>
    </xf>
    <xf numFmtId="182" fontId="22" fillId="10" borderId="8" xfId="0" applyNumberFormat="1" applyFont="1" applyFill="1" applyBorder="1" applyAlignment="1">
      <alignment horizontal="center" vertical="center"/>
    </xf>
    <xf numFmtId="0" fontId="20" fillId="9" borderId="47" xfId="0" applyFont="1" applyFill="1" applyBorder="1" applyAlignment="1">
      <alignment horizontal="center" vertical="center" wrapText="1" readingOrder="1"/>
    </xf>
    <xf numFmtId="0" fontId="20" fillId="9" borderId="3" xfId="0" applyFont="1" applyFill="1" applyBorder="1" applyAlignment="1">
      <alignment horizontal="center" vertical="center" wrapText="1" readingOrder="1"/>
    </xf>
    <xf numFmtId="182" fontId="23" fillId="10" borderId="35" xfId="0" applyNumberFormat="1" applyFont="1" applyFill="1" applyBorder="1" applyAlignment="1">
      <alignment horizontal="center" vertical="center"/>
    </xf>
    <xf numFmtId="182" fontId="23" fillId="10" borderId="40" xfId="0" applyNumberFormat="1" applyFont="1" applyFill="1" applyBorder="1" applyAlignment="1">
      <alignment horizontal="center" vertical="center"/>
    </xf>
    <xf numFmtId="182" fontId="23" fillId="10" borderId="45" xfId="0" applyNumberFormat="1" applyFont="1" applyFill="1" applyBorder="1" applyAlignment="1">
      <alignment horizontal="center" vertical="center"/>
    </xf>
    <xf numFmtId="0" fontId="20" fillId="9" borderId="21" xfId="10" applyFont="1" applyFill="1" applyBorder="1" applyAlignment="1">
      <alignment horizontal="center" vertical="center" wrapText="1" readingOrder="1"/>
    </xf>
    <xf numFmtId="0" fontId="20" fillId="9" borderId="1" xfId="10" applyFont="1" applyFill="1" applyBorder="1" applyAlignment="1">
      <alignment horizontal="center" vertical="center" wrapText="1" readingOrder="1"/>
    </xf>
    <xf numFmtId="0" fontId="22" fillId="10" borderId="29" xfId="0" applyFont="1" applyFill="1" applyBorder="1" applyAlignment="1">
      <alignment horizontal="center" vertical="center"/>
    </xf>
    <xf numFmtId="0" fontId="22" fillId="10" borderId="39" xfId="0" applyFont="1" applyFill="1" applyBorder="1" applyAlignment="1">
      <alignment horizontal="center" vertical="center"/>
    </xf>
    <xf numFmtId="0" fontId="22" fillId="10" borderId="44" xfId="0" applyFont="1" applyFill="1" applyBorder="1" applyAlignment="1">
      <alignment horizontal="center" vertical="center"/>
    </xf>
    <xf numFmtId="0" fontId="25" fillId="10" borderId="23" xfId="0" applyFont="1" applyFill="1" applyBorder="1" applyAlignment="1">
      <alignment horizontal="center" vertical="center"/>
    </xf>
    <xf numFmtId="0" fontId="25" fillId="10" borderId="32" xfId="0" applyFont="1" applyFill="1" applyBorder="1" applyAlignment="1">
      <alignment horizontal="center" vertical="center"/>
    </xf>
    <xf numFmtId="0" fontId="25" fillId="10" borderId="33" xfId="0" applyFont="1" applyFill="1" applyBorder="1" applyAlignment="1">
      <alignment horizontal="center" vertical="center"/>
    </xf>
    <xf numFmtId="0" fontId="20" fillId="9" borderId="48" xfId="0" applyFont="1" applyFill="1" applyBorder="1" applyAlignment="1">
      <alignment horizontal="center" vertical="center" wrapText="1" readingOrder="1"/>
    </xf>
    <xf numFmtId="0" fontId="20" fillId="9" borderId="14" xfId="0" applyFont="1" applyFill="1" applyBorder="1" applyAlignment="1">
      <alignment horizontal="center" vertical="center" wrapText="1" readingOrder="1"/>
    </xf>
    <xf numFmtId="176" fontId="20" fillId="9" borderId="47" xfId="0" applyNumberFormat="1" applyFont="1" applyFill="1" applyBorder="1" applyAlignment="1">
      <alignment horizontal="center" vertical="center" wrapText="1" readingOrder="1"/>
    </xf>
    <xf numFmtId="176" fontId="20" fillId="9" borderId="3" xfId="0" applyNumberFormat="1" applyFont="1" applyFill="1" applyBorder="1" applyAlignment="1">
      <alignment horizontal="center" vertical="center" wrapText="1" readingOrder="1"/>
    </xf>
  </cellXfs>
  <cellStyles count="15">
    <cellStyle name="백분율 2" xfId="7" xr:uid="{00000000-0005-0000-0000-000001000000}"/>
    <cellStyle name="백분율 3" xfId="12" xr:uid="{BFB163D3-DA72-4152-856B-260FF4C6397C}"/>
    <cellStyle name="쉼표 [0]" xfId="1" builtinId="6"/>
    <cellStyle name="쉼표 [0] 11" xfId="6" xr:uid="{00000000-0005-0000-0000-000003000000}"/>
    <cellStyle name="쉼표 [0] 2" xfId="11" xr:uid="{7C467A8D-A692-4524-BDB9-9A07A8DCDACA}"/>
    <cellStyle name="쉼표 [0] 2 2 2" xfId="2" xr:uid="{00000000-0005-0000-0000-000004000000}"/>
    <cellStyle name="쉼표 [0] 3" xfId="13" xr:uid="{3FFF2D7A-A591-439D-848C-2643C24EF2E3}"/>
    <cellStyle name="쉼표 [0] 3 2" xfId="14" xr:uid="{91CAD60E-CDCB-4B89-88A8-3AD11B3329CF}"/>
    <cellStyle name="표준" xfId="0" builtinId="0"/>
    <cellStyle name="표준 12" xfId="8" xr:uid="{00000000-0005-0000-0000-000006000000}"/>
    <cellStyle name="표준 2" xfId="4" xr:uid="{00000000-0005-0000-0000-000007000000}"/>
    <cellStyle name="표준 2 2 2" xfId="5" xr:uid="{00000000-0005-0000-0000-000008000000}"/>
    <cellStyle name="표준 3" xfId="10" xr:uid="{00A80F50-E370-4481-AD4C-05792F21E246}"/>
    <cellStyle name="표준 4 2" xfId="9" xr:uid="{00000000-0005-0000-0000-000009000000}"/>
    <cellStyle name="하이퍼링크" xfId="3" xr:uid="{00000000-0005-0000-0000-00000A000000}"/>
  </cellStyles>
  <dxfs count="5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</dxfs>
  <tableStyles count="0" defaultTableStyle="TableStyleMedium9" defaultPivotStyle="PivotStyleLight16"/>
  <colors>
    <mruColors>
      <color rgb="FF91DBB6"/>
      <color rgb="FF339966"/>
      <color rgb="FFFFCC66"/>
      <color rgb="FFC6ECD9"/>
      <color rgb="FF006600"/>
      <color rgb="FF003300"/>
      <color rgb="FFFF6600"/>
      <color rgb="FFDDD9C3"/>
      <color rgb="FFD9FF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119062</xdr:colOff>
      <xdr:row>1</xdr:row>
      <xdr:rowOff>428625</xdr:rowOff>
    </xdr:from>
    <xdr:to>
      <xdr:col>50</xdr:col>
      <xdr:colOff>41672</xdr:colOff>
      <xdr:row>3</xdr:row>
      <xdr:rowOff>380999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BF37AB67-B892-4D12-8F3C-D7082A77C804}"/>
            </a:ext>
          </a:extLst>
        </xdr:cNvPr>
        <xdr:cNvSpPr/>
      </xdr:nvSpPr>
      <xdr:spPr>
        <a:xfrm>
          <a:off x="32894587" y="1019175"/>
          <a:ext cx="4923235" cy="1133474"/>
        </a:xfrm>
        <a:prstGeom prst="rect">
          <a:avLst/>
        </a:prstGeom>
        <a:solidFill>
          <a:srgbClr val="FFCC66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117" rtl="0" eaLnBrk="1" latinLnBrk="0" hangingPunct="1">
            <a:defRPr sz="1799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117" algn="l" defTabSz="457117" rtl="0" eaLnBrk="1" latinLnBrk="0" hangingPunct="1">
            <a:defRPr sz="1799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235" algn="l" defTabSz="457117" rtl="0" eaLnBrk="1" latinLnBrk="0" hangingPunct="1">
            <a:defRPr sz="1799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353" algn="l" defTabSz="457117" rtl="0" eaLnBrk="1" latinLnBrk="0" hangingPunct="1">
            <a:defRPr sz="1799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470" algn="l" defTabSz="457117" rtl="0" eaLnBrk="1" latinLnBrk="0" hangingPunct="1">
            <a:defRPr sz="1799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5588" algn="l" defTabSz="457117" rtl="0" eaLnBrk="1" latinLnBrk="0" hangingPunct="1">
            <a:defRPr sz="1799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2705" algn="l" defTabSz="457117" rtl="0" eaLnBrk="1" latinLnBrk="0" hangingPunct="1">
            <a:defRPr sz="1799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9823" algn="l" defTabSz="457117" rtl="0" eaLnBrk="1" latinLnBrk="0" hangingPunct="1">
            <a:defRPr sz="1799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6940" algn="l" defTabSz="457117" rtl="0" eaLnBrk="1" latinLnBrk="0" hangingPunct="1">
            <a:defRPr sz="1799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 editAs="oneCell">
    <xdr:from>
      <xdr:col>1</xdr:col>
      <xdr:colOff>47623</xdr:colOff>
      <xdr:row>1</xdr:row>
      <xdr:rowOff>71434</xdr:rowOff>
    </xdr:from>
    <xdr:to>
      <xdr:col>14</xdr:col>
      <xdr:colOff>619124</xdr:colOff>
      <xdr:row>4</xdr:row>
      <xdr:rowOff>142872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2C3B5ED-F378-4279-A454-0C6DF10C5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998" y="666747"/>
          <a:ext cx="10620376" cy="1571625"/>
        </a:xfrm>
        <a:prstGeom prst="rect">
          <a:avLst/>
        </a:prstGeom>
      </xdr:spPr>
    </xdr:pic>
    <xdr:clientData/>
  </xdr:twoCellAnchor>
  <xdr:oneCellAnchor>
    <xdr:from>
      <xdr:col>14</xdr:col>
      <xdr:colOff>785813</xdr:colOff>
      <xdr:row>0</xdr:row>
      <xdr:rowOff>381001</xdr:rowOff>
    </xdr:from>
    <xdr:ext cx="16074947" cy="248721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624173F-DC30-4A10-8A86-D31625747549}"/>
            </a:ext>
          </a:extLst>
        </xdr:cNvPr>
        <xdr:cNvSpPr txBox="1"/>
      </xdr:nvSpPr>
      <xdr:spPr>
        <a:xfrm>
          <a:off x="11549063" y="381001"/>
          <a:ext cx="16074947" cy="24872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0800" b="1">
              <a:ln>
                <a:solidFill>
                  <a:schemeClr val="tx1">
                    <a:lumMod val="85000"/>
                    <a:lumOff val="15000"/>
                  </a:schemeClr>
                </a:solidFill>
              </a:ln>
              <a:latin typeface="+mj-ea"/>
              <a:ea typeface="+mj-ea"/>
            </a:rPr>
            <a:t>뉴브 클라우드힐스 </a:t>
          </a:r>
        </a:p>
      </xdr:txBody>
    </xdr:sp>
    <xdr:clientData/>
  </xdr:oneCellAnchor>
  <xdr:twoCellAnchor>
    <xdr:from>
      <xdr:col>43</xdr:col>
      <xdr:colOff>190500</xdr:colOff>
      <xdr:row>1</xdr:row>
      <xdr:rowOff>23812</xdr:rowOff>
    </xdr:from>
    <xdr:to>
      <xdr:col>50</xdr:col>
      <xdr:colOff>20360</xdr:colOff>
      <xdr:row>4</xdr:row>
      <xdr:rowOff>212485</xdr:rowOff>
    </xdr:to>
    <xdr:sp macro="" textlink="">
      <xdr:nvSpPr>
        <xdr:cNvPr id="6" name="TextBox 11">
          <a:extLst>
            <a:ext uri="{FF2B5EF4-FFF2-40B4-BE49-F238E27FC236}">
              <a16:creationId xmlns:a16="http://schemas.microsoft.com/office/drawing/2014/main" id="{7F972AAA-883B-4F1D-8550-0FAB87D055FD}"/>
            </a:ext>
          </a:extLst>
        </xdr:cNvPr>
        <xdr:cNvSpPr txBox="1"/>
      </xdr:nvSpPr>
      <xdr:spPr>
        <a:xfrm>
          <a:off x="33004125" y="619125"/>
          <a:ext cx="4830485" cy="1688860"/>
        </a:xfrm>
        <a:prstGeom prst="rect">
          <a:avLst/>
        </a:prstGeom>
        <a:noFill/>
      </xdr:spPr>
      <xdr:txBody>
        <a:bodyPr wrap="square" rtlCol="0" anchor="ctr">
          <a:spAutoFit/>
        </a:bodyPr>
        <a:lstStyle>
          <a:defPPr>
            <a:defRPr lang="en-US"/>
          </a:defPPr>
          <a:lvl1pPr marL="0" algn="l" defTabSz="457117" rtl="0" eaLnBrk="1" latinLnBrk="0" hangingPunct="1">
            <a:defRPr sz="1799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17" algn="l" defTabSz="457117" rtl="0" eaLnBrk="1" latinLnBrk="0" hangingPunct="1">
            <a:defRPr sz="1799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235" algn="l" defTabSz="457117" rtl="0" eaLnBrk="1" latinLnBrk="0" hangingPunct="1">
            <a:defRPr sz="1799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353" algn="l" defTabSz="457117" rtl="0" eaLnBrk="1" latinLnBrk="0" hangingPunct="1">
            <a:defRPr sz="1799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470" algn="l" defTabSz="457117" rtl="0" eaLnBrk="1" latinLnBrk="0" hangingPunct="1">
            <a:defRPr sz="1799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588" algn="l" defTabSz="457117" rtl="0" eaLnBrk="1" latinLnBrk="0" hangingPunct="1">
            <a:defRPr sz="1799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2705" algn="l" defTabSz="457117" rtl="0" eaLnBrk="1" latinLnBrk="0" hangingPunct="1">
            <a:defRPr sz="1799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199823" algn="l" defTabSz="457117" rtl="0" eaLnBrk="1" latinLnBrk="0" hangingPunct="1">
            <a:defRPr sz="1799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6940" algn="l" defTabSz="457117" rtl="0" eaLnBrk="1" latinLnBrk="0" hangingPunct="1">
            <a:defRPr sz="1799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7200" b="1">
              <a:ln w="3175">
                <a:solidFill>
                  <a:schemeClr val="bg1"/>
                </a:solidFill>
              </a:ln>
              <a:solidFill>
                <a:schemeClr val="bg1"/>
              </a:solidFill>
              <a:latin typeface="+mj-ea"/>
              <a:ea typeface="+mj-ea"/>
            </a:rPr>
            <a:t>분양견적서</a:t>
          </a:r>
          <a:endParaRPr lang="en-US" altLang="ko-KR" sz="7200" b="1">
            <a:ln w="3175">
              <a:solidFill>
                <a:schemeClr val="bg1"/>
              </a:solidFill>
            </a:ln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119062</xdr:colOff>
      <xdr:row>1</xdr:row>
      <xdr:rowOff>428625</xdr:rowOff>
    </xdr:from>
    <xdr:to>
      <xdr:col>50</xdr:col>
      <xdr:colOff>41672</xdr:colOff>
      <xdr:row>3</xdr:row>
      <xdr:rowOff>380999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30837187" y="1019175"/>
          <a:ext cx="4923235" cy="1133474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117" rtl="0" eaLnBrk="1" latinLnBrk="0" hangingPunct="1">
            <a:defRPr sz="1799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117" algn="l" defTabSz="457117" rtl="0" eaLnBrk="1" latinLnBrk="0" hangingPunct="1">
            <a:defRPr sz="1799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235" algn="l" defTabSz="457117" rtl="0" eaLnBrk="1" latinLnBrk="0" hangingPunct="1">
            <a:defRPr sz="1799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353" algn="l" defTabSz="457117" rtl="0" eaLnBrk="1" latinLnBrk="0" hangingPunct="1">
            <a:defRPr sz="1799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470" algn="l" defTabSz="457117" rtl="0" eaLnBrk="1" latinLnBrk="0" hangingPunct="1">
            <a:defRPr sz="1799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5588" algn="l" defTabSz="457117" rtl="0" eaLnBrk="1" latinLnBrk="0" hangingPunct="1">
            <a:defRPr sz="1799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2705" algn="l" defTabSz="457117" rtl="0" eaLnBrk="1" latinLnBrk="0" hangingPunct="1">
            <a:defRPr sz="1799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9823" algn="l" defTabSz="457117" rtl="0" eaLnBrk="1" latinLnBrk="0" hangingPunct="1">
            <a:defRPr sz="1799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6940" algn="l" defTabSz="457117" rtl="0" eaLnBrk="1" latinLnBrk="0" hangingPunct="1">
            <a:defRPr sz="1799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52</xdr:col>
      <xdr:colOff>0</xdr:colOff>
      <xdr:row>1</xdr:row>
      <xdr:rowOff>428625</xdr:rowOff>
    </xdr:from>
    <xdr:to>
      <xdr:col>52</xdr:col>
      <xdr:colOff>41672</xdr:colOff>
      <xdr:row>3</xdr:row>
      <xdr:rowOff>380999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37080825" y="1019175"/>
          <a:ext cx="41672" cy="1133474"/>
        </a:xfrm>
        <a:prstGeom prst="rect">
          <a:avLst/>
        </a:prstGeom>
        <a:solidFill>
          <a:srgbClr val="0A652B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117" rtl="0" eaLnBrk="1" latinLnBrk="0" hangingPunct="1">
            <a:defRPr sz="1799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117" algn="l" defTabSz="457117" rtl="0" eaLnBrk="1" latinLnBrk="0" hangingPunct="1">
            <a:defRPr sz="1799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235" algn="l" defTabSz="457117" rtl="0" eaLnBrk="1" latinLnBrk="0" hangingPunct="1">
            <a:defRPr sz="1799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353" algn="l" defTabSz="457117" rtl="0" eaLnBrk="1" latinLnBrk="0" hangingPunct="1">
            <a:defRPr sz="1799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470" algn="l" defTabSz="457117" rtl="0" eaLnBrk="1" latinLnBrk="0" hangingPunct="1">
            <a:defRPr sz="1799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5588" algn="l" defTabSz="457117" rtl="0" eaLnBrk="1" latinLnBrk="0" hangingPunct="1">
            <a:defRPr sz="1799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2705" algn="l" defTabSz="457117" rtl="0" eaLnBrk="1" latinLnBrk="0" hangingPunct="1">
            <a:defRPr sz="1799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9823" algn="l" defTabSz="457117" rtl="0" eaLnBrk="1" latinLnBrk="0" hangingPunct="1">
            <a:defRPr sz="1799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6940" algn="l" defTabSz="457117" rtl="0" eaLnBrk="1" latinLnBrk="0" hangingPunct="1">
            <a:defRPr sz="1799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 editAs="oneCell">
    <xdr:from>
      <xdr:col>1</xdr:col>
      <xdr:colOff>47625</xdr:colOff>
      <xdr:row>1</xdr:row>
      <xdr:rowOff>47625</xdr:rowOff>
    </xdr:from>
    <xdr:to>
      <xdr:col>14</xdr:col>
      <xdr:colOff>714376</xdr:colOff>
      <xdr:row>4</xdr:row>
      <xdr:rowOff>119063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2313B0D-56A2-4564-B29D-AF7D2E05E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642938"/>
          <a:ext cx="10620376" cy="1571625"/>
        </a:xfrm>
        <a:prstGeom prst="rect">
          <a:avLst/>
        </a:prstGeom>
      </xdr:spPr>
    </xdr:pic>
    <xdr:clientData/>
  </xdr:twoCellAnchor>
  <xdr:oneCellAnchor>
    <xdr:from>
      <xdr:col>14</xdr:col>
      <xdr:colOff>809625</xdr:colOff>
      <xdr:row>0</xdr:row>
      <xdr:rowOff>357187</xdr:rowOff>
    </xdr:from>
    <xdr:ext cx="13717508" cy="248721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DFB86FA-101F-45DA-821F-BEAD0261777F}"/>
            </a:ext>
          </a:extLst>
        </xdr:cNvPr>
        <xdr:cNvSpPr txBox="1"/>
      </xdr:nvSpPr>
      <xdr:spPr>
        <a:xfrm>
          <a:off x="11477625" y="357187"/>
          <a:ext cx="13717508" cy="24872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0800" b="1">
              <a:ln>
                <a:solidFill>
                  <a:schemeClr val="tx1">
                    <a:lumMod val="85000"/>
                    <a:lumOff val="15000"/>
                  </a:schemeClr>
                </a:solidFill>
              </a:ln>
              <a:latin typeface="+mj-ea"/>
              <a:ea typeface="+mj-ea"/>
            </a:rPr>
            <a:t>뉴브 클라우드힐스</a:t>
          </a:r>
        </a:p>
      </xdr:txBody>
    </xdr:sp>
    <xdr:clientData/>
  </xdr:oneCellAnchor>
  <xdr:twoCellAnchor>
    <xdr:from>
      <xdr:col>43</xdr:col>
      <xdr:colOff>119060</xdr:colOff>
      <xdr:row>1</xdr:row>
      <xdr:rowOff>-1</xdr:rowOff>
    </xdr:from>
    <xdr:to>
      <xdr:col>49</xdr:col>
      <xdr:colOff>663295</xdr:colOff>
      <xdr:row>4</xdr:row>
      <xdr:rowOff>188672</xdr:rowOff>
    </xdr:to>
    <xdr:sp macro="" textlink="">
      <xdr:nvSpPr>
        <xdr:cNvPr id="8" name="TextBox 11">
          <a:extLst>
            <a:ext uri="{FF2B5EF4-FFF2-40B4-BE49-F238E27FC236}">
              <a16:creationId xmlns:a16="http://schemas.microsoft.com/office/drawing/2014/main" id="{CFB537C0-3F71-4042-B8D8-8A39BE9987C5}"/>
            </a:ext>
          </a:extLst>
        </xdr:cNvPr>
        <xdr:cNvSpPr txBox="1"/>
      </xdr:nvSpPr>
      <xdr:spPr>
        <a:xfrm>
          <a:off x="32837435" y="595312"/>
          <a:ext cx="4830485" cy="1688860"/>
        </a:xfrm>
        <a:prstGeom prst="rect">
          <a:avLst/>
        </a:prstGeom>
        <a:noFill/>
      </xdr:spPr>
      <xdr:txBody>
        <a:bodyPr wrap="square" rtlCol="0" anchor="ctr">
          <a:spAutoFit/>
        </a:bodyPr>
        <a:lstStyle>
          <a:defPPr>
            <a:defRPr lang="en-US"/>
          </a:defPPr>
          <a:lvl1pPr marL="0" algn="l" defTabSz="457117" rtl="0" eaLnBrk="1" latinLnBrk="0" hangingPunct="1">
            <a:defRPr sz="1799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17" algn="l" defTabSz="457117" rtl="0" eaLnBrk="1" latinLnBrk="0" hangingPunct="1">
            <a:defRPr sz="1799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235" algn="l" defTabSz="457117" rtl="0" eaLnBrk="1" latinLnBrk="0" hangingPunct="1">
            <a:defRPr sz="1799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353" algn="l" defTabSz="457117" rtl="0" eaLnBrk="1" latinLnBrk="0" hangingPunct="1">
            <a:defRPr sz="1799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470" algn="l" defTabSz="457117" rtl="0" eaLnBrk="1" latinLnBrk="0" hangingPunct="1">
            <a:defRPr sz="1799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588" algn="l" defTabSz="457117" rtl="0" eaLnBrk="1" latinLnBrk="0" hangingPunct="1">
            <a:defRPr sz="1799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2705" algn="l" defTabSz="457117" rtl="0" eaLnBrk="1" latinLnBrk="0" hangingPunct="1">
            <a:defRPr sz="1799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199823" algn="l" defTabSz="457117" rtl="0" eaLnBrk="1" latinLnBrk="0" hangingPunct="1">
            <a:defRPr sz="1799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6940" algn="l" defTabSz="457117" rtl="0" eaLnBrk="1" latinLnBrk="0" hangingPunct="1">
            <a:defRPr sz="1799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7200" b="1">
              <a:ln w="3175">
                <a:solidFill>
                  <a:schemeClr val="bg1"/>
                </a:solidFill>
              </a:ln>
              <a:solidFill>
                <a:schemeClr val="bg1"/>
              </a:solidFill>
              <a:latin typeface="+mj-ea"/>
              <a:ea typeface="+mj-ea"/>
            </a:rPr>
            <a:t>임대견적서</a:t>
          </a:r>
          <a:endParaRPr lang="en-US" altLang="ko-KR" sz="7200" b="1">
            <a:ln w="3175">
              <a:solidFill>
                <a:schemeClr val="bg1"/>
              </a:solidFill>
            </a:ln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119062</xdr:colOff>
      <xdr:row>1</xdr:row>
      <xdr:rowOff>428625</xdr:rowOff>
    </xdr:from>
    <xdr:to>
      <xdr:col>50</xdr:col>
      <xdr:colOff>41672</xdr:colOff>
      <xdr:row>3</xdr:row>
      <xdr:rowOff>380999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30837187" y="1019175"/>
          <a:ext cx="4923235" cy="1133474"/>
        </a:xfrm>
        <a:prstGeom prst="rect">
          <a:avLst/>
        </a:prstGeom>
        <a:solidFill>
          <a:srgbClr val="0A652B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117" rtl="0" eaLnBrk="1" latinLnBrk="0" hangingPunct="1">
            <a:defRPr sz="1799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117" algn="l" defTabSz="457117" rtl="0" eaLnBrk="1" latinLnBrk="0" hangingPunct="1">
            <a:defRPr sz="1799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235" algn="l" defTabSz="457117" rtl="0" eaLnBrk="1" latinLnBrk="0" hangingPunct="1">
            <a:defRPr sz="1799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353" algn="l" defTabSz="457117" rtl="0" eaLnBrk="1" latinLnBrk="0" hangingPunct="1">
            <a:defRPr sz="1799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470" algn="l" defTabSz="457117" rtl="0" eaLnBrk="1" latinLnBrk="0" hangingPunct="1">
            <a:defRPr sz="1799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5588" algn="l" defTabSz="457117" rtl="0" eaLnBrk="1" latinLnBrk="0" hangingPunct="1">
            <a:defRPr sz="1799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2705" algn="l" defTabSz="457117" rtl="0" eaLnBrk="1" latinLnBrk="0" hangingPunct="1">
            <a:defRPr sz="1799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9823" algn="l" defTabSz="457117" rtl="0" eaLnBrk="1" latinLnBrk="0" hangingPunct="1">
            <a:defRPr sz="1799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6940" algn="l" defTabSz="457117" rtl="0" eaLnBrk="1" latinLnBrk="0" hangingPunct="1">
            <a:defRPr sz="1799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43</xdr:col>
      <xdr:colOff>168419</xdr:colOff>
      <xdr:row>1</xdr:row>
      <xdr:rowOff>274869</xdr:rowOff>
    </xdr:from>
    <xdr:to>
      <xdr:col>49</xdr:col>
      <xdr:colOff>712654</xdr:colOff>
      <xdr:row>3</xdr:row>
      <xdr:rowOff>535347</xdr:rowOff>
    </xdr:to>
    <xdr:sp macro="" textlink="">
      <xdr:nvSpPr>
        <xdr:cNvPr id="4" name="TextBox 1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30886544" y="865419"/>
          <a:ext cx="4830485" cy="1441578"/>
        </a:xfrm>
        <a:prstGeom prst="rect">
          <a:avLst/>
        </a:prstGeom>
        <a:noFill/>
      </xdr:spPr>
      <xdr:txBody>
        <a:bodyPr wrap="square" rtlCol="0" anchor="ctr">
          <a:spAutoFit/>
        </a:bodyPr>
        <a:lstStyle>
          <a:defPPr>
            <a:defRPr lang="en-US"/>
          </a:defPPr>
          <a:lvl1pPr marL="0" algn="l" defTabSz="457117" rtl="0" eaLnBrk="1" latinLnBrk="0" hangingPunct="1">
            <a:defRPr sz="1799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17" algn="l" defTabSz="457117" rtl="0" eaLnBrk="1" latinLnBrk="0" hangingPunct="1">
            <a:defRPr sz="1799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235" algn="l" defTabSz="457117" rtl="0" eaLnBrk="1" latinLnBrk="0" hangingPunct="1">
            <a:defRPr sz="1799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353" algn="l" defTabSz="457117" rtl="0" eaLnBrk="1" latinLnBrk="0" hangingPunct="1">
            <a:defRPr sz="1799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470" algn="l" defTabSz="457117" rtl="0" eaLnBrk="1" latinLnBrk="0" hangingPunct="1">
            <a:defRPr sz="1799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588" algn="l" defTabSz="457117" rtl="0" eaLnBrk="1" latinLnBrk="0" hangingPunct="1">
            <a:defRPr sz="1799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2705" algn="l" defTabSz="457117" rtl="0" eaLnBrk="1" latinLnBrk="0" hangingPunct="1">
            <a:defRPr sz="1799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199823" algn="l" defTabSz="457117" rtl="0" eaLnBrk="1" latinLnBrk="0" hangingPunct="1">
            <a:defRPr sz="1799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6940" algn="l" defTabSz="457117" rtl="0" eaLnBrk="1" latinLnBrk="0" hangingPunct="1">
            <a:defRPr sz="1799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7200">
              <a:ln w="3175">
                <a:solidFill>
                  <a:schemeClr val="bg1"/>
                </a:solidFill>
              </a:ln>
              <a:solidFill>
                <a:schemeClr val="bg1"/>
              </a:solidFill>
              <a:latin typeface="KoPub돋움체 Bold" panose="00000800000000000000" pitchFamily="2" charset="-127"/>
              <a:ea typeface="KoPub돋움체 Bold" panose="00000800000000000000" pitchFamily="2" charset="-127"/>
            </a:rPr>
            <a:t>견적서</a:t>
          </a:r>
          <a:endParaRPr lang="en-US" altLang="ko-KR" sz="7200">
            <a:ln w="3175">
              <a:solidFill>
                <a:schemeClr val="bg1"/>
              </a:solidFill>
            </a:ln>
            <a:solidFill>
              <a:schemeClr val="bg1"/>
            </a:solidFill>
            <a:latin typeface="KoPub돋움체 Bold" panose="00000800000000000000" pitchFamily="2" charset="-127"/>
            <a:ea typeface="KoPub돋움체 Bold" panose="00000800000000000000" pitchFamily="2" charset="-127"/>
          </a:endParaRPr>
        </a:p>
      </xdr:txBody>
    </xdr:sp>
    <xdr:clientData/>
  </xdr:twoCellAnchor>
  <xdr:twoCellAnchor>
    <xdr:from>
      <xdr:col>52</xdr:col>
      <xdr:colOff>0</xdr:colOff>
      <xdr:row>1</xdr:row>
      <xdr:rowOff>428625</xdr:rowOff>
    </xdr:from>
    <xdr:to>
      <xdr:col>52</xdr:col>
      <xdr:colOff>41672</xdr:colOff>
      <xdr:row>3</xdr:row>
      <xdr:rowOff>380999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37080825" y="1019175"/>
          <a:ext cx="41672" cy="1133474"/>
        </a:xfrm>
        <a:prstGeom prst="rect">
          <a:avLst/>
        </a:prstGeom>
        <a:solidFill>
          <a:srgbClr val="0A652B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117" rtl="0" eaLnBrk="1" latinLnBrk="0" hangingPunct="1">
            <a:defRPr sz="1799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117" algn="l" defTabSz="457117" rtl="0" eaLnBrk="1" latinLnBrk="0" hangingPunct="1">
            <a:defRPr sz="1799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235" algn="l" defTabSz="457117" rtl="0" eaLnBrk="1" latinLnBrk="0" hangingPunct="1">
            <a:defRPr sz="1799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353" algn="l" defTabSz="457117" rtl="0" eaLnBrk="1" latinLnBrk="0" hangingPunct="1">
            <a:defRPr sz="1799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470" algn="l" defTabSz="457117" rtl="0" eaLnBrk="1" latinLnBrk="0" hangingPunct="1">
            <a:defRPr sz="1799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5588" algn="l" defTabSz="457117" rtl="0" eaLnBrk="1" latinLnBrk="0" hangingPunct="1">
            <a:defRPr sz="1799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2705" algn="l" defTabSz="457117" rtl="0" eaLnBrk="1" latinLnBrk="0" hangingPunct="1">
            <a:defRPr sz="1799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9823" algn="l" defTabSz="457117" rtl="0" eaLnBrk="1" latinLnBrk="0" hangingPunct="1">
            <a:defRPr sz="1799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6940" algn="l" defTabSz="457117" rtl="0" eaLnBrk="1" latinLnBrk="0" hangingPunct="1">
            <a:defRPr sz="1799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0</xdr:col>
      <xdr:colOff>38100</xdr:colOff>
      <xdr:row>0</xdr:row>
      <xdr:rowOff>0</xdr:rowOff>
    </xdr:from>
    <xdr:to>
      <xdr:col>51</xdr:col>
      <xdr:colOff>633412</xdr:colOff>
      <xdr:row>9</xdr:row>
      <xdr:rowOff>-1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38100" y="0"/>
          <a:ext cx="37514212" cy="5486399"/>
        </a:xfrm>
        <a:prstGeom prst="rect">
          <a:avLst/>
        </a:prstGeom>
        <a:solidFill>
          <a:schemeClr val="accent1">
            <a:alpha val="61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</xdr:colOff>
      <xdr:row>8</xdr:row>
      <xdr:rowOff>485774</xdr:rowOff>
    </xdr:from>
    <xdr:to>
      <xdr:col>2</xdr:col>
      <xdr:colOff>23813</xdr:colOff>
      <xdr:row>45</xdr:row>
      <xdr:rowOff>71436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1" y="5248274"/>
          <a:ext cx="1452562" cy="21612225"/>
        </a:xfrm>
        <a:prstGeom prst="rect">
          <a:avLst/>
        </a:prstGeom>
        <a:solidFill>
          <a:schemeClr val="accent1">
            <a:alpha val="61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9526</xdr:colOff>
      <xdr:row>8</xdr:row>
      <xdr:rowOff>533400</xdr:rowOff>
    </xdr:from>
    <xdr:to>
      <xdr:col>38</xdr:col>
      <xdr:colOff>23812</xdr:colOff>
      <xdr:row>45</xdr:row>
      <xdr:rowOff>71437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2905126" y="5410200"/>
          <a:ext cx="24626886" cy="22093237"/>
        </a:xfrm>
        <a:prstGeom prst="rect">
          <a:avLst/>
        </a:prstGeom>
        <a:solidFill>
          <a:schemeClr val="accent1">
            <a:alpha val="61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ㅇㅇ</a:t>
          </a:r>
        </a:p>
      </xdr:txBody>
    </xdr:sp>
    <xdr:clientData/>
  </xdr:twoCellAnchor>
  <xdr:twoCellAnchor>
    <xdr:from>
      <xdr:col>42</xdr:col>
      <xdr:colOff>23811</xdr:colOff>
      <xdr:row>8</xdr:row>
      <xdr:rowOff>552449</xdr:rowOff>
    </xdr:from>
    <xdr:to>
      <xdr:col>46</xdr:col>
      <xdr:colOff>23812</xdr:colOff>
      <xdr:row>45</xdr:row>
      <xdr:rowOff>23812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30027561" y="5314949"/>
          <a:ext cx="2857501" cy="21497926"/>
        </a:xfrm>
        <a:prstGeom prst="rect">
          <a:avLst/>
        </a:prstGeom>
        <a:solidFill>
          <a:schemeClr val="accent1">
            <a:alpha val="61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38</xdr:col>
      <xdr:colOff>33336</xdr:colOff>
      <xdr:row>25</xdr:row>
      <xdr:rowOff>14287</xdr:rowOff>
    </xdr:from>
    <xdr:to>
      <xdr:col>42</xdr:col>
      <xdr:colOff>33337</xdr:colOff>
      <xdr:row>45</xdr:row>
      <xdr:rowOff>47624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27179586" y="14897100"/>
          <a:ext cx="2857501" cy="11939587"/>
        </a:xfrm>
        <a:prstGeom prst="rect">
          <a:avLst/>
        </a:prstGeom>
        <a:solidFill>
          <a:schemeClr val="accent1">
            <a:alpha val="61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45</xdr:col>
      <xdr:colOff>690561</xdr:colOff>
      <xdr:row>24</xdr:row>
      <xdr:rowOff>595311</xdr:rowOff>
    </xdr:from>
    <xdr:to>
      <xdr:col>52</xdr:col>
      <xdr:colOff>47624</xdr:colOff>
      <xdr:row>45</xdr:row>
      <xdr:rowOff>23811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32837436" y="14882811"/>
          <a:ext cx="4286251" cy="11930063"/>
        </a:xfrm>
        <a:prstGeom prst="rect">
          <a:avLst/>
        </a:prstGeom>
        <a:solidFill>
          <a:schemeClr val="accent1">
            <a:alpha val="61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50</xdr:col>
      <xdr:colOff>23812</xdr:colOff>
      <xdr:row>8</xdr:row>
      <xdr:rowOff>552449</xdr:rowOff>
    </xdr:from>
    <xdr:to>
      <xdr:col>52</xdr:col>
      <xdr:colOff>47624</xdr:colOff>
      <xdr:row>45</xdr:row>
      <xdr:rowOff>23812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/>
      </xdr:nvSpPr>
      <xdr:spPr>
        <a:xfrm>
          <a:off x="35742562" y="5314949"/>
          <a:ext cx="1381125" cy="21497926"/>
        </a:xfrm>
        <a:prstGeom prst="rect">
          <a:avLst/>
        </a:prstGeom>
        <a:solidFill>
          <a:schemeClr val="accent1">
            <a:alpha val="61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38</xdr:col>
      <xdr:colOff>0</xdr:colOff>
      <xdr:row>14</xdr:row>
      <xdr:rowOff>23812</xdr:rowOff>
    </xdr:from>
    <xdr:to>
      <xdr:col>50</xdr:col>
      <xdr:colOff>76200</xdr:colOff>
      <xdr:row>20</xdr:row>
      <xdr:rowOff>-1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27508200" y="8558212"/>
          <a:ext cx="8763000" cy="3633787"/>
        </a:xfrm>
        <a:prstGeom prst="rect">
          <a:avLst/>
        </a:prstGeom>
        <a:solidFill>
          <a:schemeClr val="accent1">
            <a:alpha val="61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0</xdr:colOff>
      <xdr:row>13</xdr:row>
      <xdr:rowOff>547687</xdr:rowOff>
    </xdr:from>
    <xdr:to>
      <xdr:col>4</xdr:col>
      <xdr:colOff>76200</xdr:colOff>
      <xdr:row>20</xdr:row>
      <xdr:rowOff>-1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/>
      </xdr:nvSpPr>
      <xdr:spPr>
        <a:xfrm>
          <a:off x="1447800" y="8472487"/>
          <a:ext cx="1524000" cy="3719512"/>
        </a:xfrm>
        <a:prstGeom prst="rect">
          <a:avLst/>
        </a:prstGeom>
        <a:solidFill>
          <a:schemeClr val="accent1">
            <a:alpha val="61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0</xdr:colOff>
      <xdr:row>25</xdr:row>
      <xdr:rowOff>23812</xdr:rowOff>
    </xdr:from>
    <xdr:to>
      <xdr:col>4</xdr:col>
      <xdr:colOff>76200</xdr:colOff>
      <xdr:row>45</xdr:row>
      <xdr:rowOff>47624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1447800" y="15263812"/>
          <a:ext cx="1524000" cy="12215812"/>
        </a:xfrm>
        <a:prstGeom prst="rect">
          <a:avLst/>
        </a:prstGeom>
        <a:solidFill>
          <a:schemeClr val="accent1">
            <a:alpha val="61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4</xdr:col>
      <xdr:colOff>228600</xdr:colOff>
      <xdr:row>10</xdr:row>
      <xdr:rowOff>-1</xdr:rowOff>
    </xdr:from>
    <xdr:ext cx="12230100" cy="3319883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 txBox="1"/>
      </xdr:nvSpPr>
      <xdr:spPr>
        <a:xfrm>
          <a:off x="3124200" y="6095999"/>
          <a:ext cx="12230100" cy="33198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8800">
              <a:effectLst>
                <a:glow rad="127000">
                  <a:schemeClr val="bg1"/>
                </a:glow>
              </a:effectLst>
              <a:latin typeface="KoPub돋움체 Bold" panose="00000800000000000000" pitchFamily="2" charset="-127"/>
              <a:ea typeface="KoPub돋움체 Bold" panose="00000800000000000000" pitchFamily="2" charset="-127"/>
            </a:rPr>
            <a:t>호실 입력칸</a:t>
          </a:r>
          <a:r>
            <a:rPr lang="en-US" altLang="ko-KR" sz="8800">
              <a:effectLst>
                <a:glow rad="127000">
                  <a:schemeClr val="bg1"/>
                </a:glow>
              </a:effectLst>
              <a:latin typeface="KoPub돋움체 Bold" panose="00000800000000000000" pitchFamily="2" charset="-127"/>
              <a:ea typeface="KoPub돋움체 Bold" panose="00000800000000000000" pitchFamily="2" charset="-127"/>
            </a:rPr>
            <a:t>(BT-000) </a:t>
          </a:r>
          <a:r>
            <a:rPr lang="ko-KR" altLang="en-US" sz="8800">
              <a:effectLst>
                <a:glow rad="127000">
                  <a:schemeClr val="bg1"/>
                </a:glow>
              </a:effectLst>
              <a:latin typeface="KoPub돋움체 Bold" panose="00000800000000000000" pitchFamily="2" charset="-127"/>
              <a:ea typeface="KoPub돋움체 Bold" panose="00000800000000000000" pitchFamily="2" charset="-127"/>
            </a:rPr>
            <a:t>정확한 호실 입력</a:t>
          </a:r>
        </a:p>
      </xdr:txBody>
    </xdr:sp>
    <xdr:clientData/>
  </xdr:oneCellAnchor>
  <xdr:oneCellAnchor>
    <xdr:from>
      <xdr:col>4</xdr:col>
      <xdr:colOff>457200</xdr:colOff>
      <xdr:row>19</xdr:row>
      <xdr:rowOff>228599</xdr:rowOff>
    </xdr:from>
    <xdr:ext cx="12039600" cy="3319883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 txBox="1"/>
      </xdr:nvSpPr>
      <xdr:spPr>
        <a:xfrm>
          <a:off x="3352800" y="11810999"/>
          <a:ext cx="12039600" cy="33198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8800">
              <a:effectLst>
                <a:glow rad="127000">
                  <a:schemeClr val="bg1"/>
                </a:glow>
              </a:effectLst>
              <a:latin typeface="KoPub돋움체 Bold" panose="00000800000000000000" pitchFamily="2" charset="-127"/>
              <a:ea typeface="KoPub돋움체 Bold" panose="00000800000000000000" pitchFamily="2" charset="-127"/>
            </a:rPr>
            <a:t>호실 입력칸</a:t>
          </a:r>
          <a:r>
            <a:rPr lang="en-US" altLang="ko-KR" sz="8800">
              <a:effectLst>
                <a:glow rad="127000">
                  <a:schemeClr val="bg1"/>
                </a:glow>
              </a:effectLst>
              <a:latin typeface="KoPub돋움체 Bold" panose="00000800000000000000" pitchFamily="2" charset="-127"/>
              <a:ea typeface="KoPub돋움체 Bold" panose="00000800000000000000" pitchFamily="2" charset="-127"/>
            </a:rPr>
            <a:t>(BT-000)</a:t>
          </a:r>
          <a:r>
            <a:rPr lang="en-US" altLang="ko-KR" sz="8800" baseline="0">
              <a:effectLst>
                <a:glow rad="127000">
                  <a:schemeClr val="bg1"/>
                </a:glow>
              </a:effectLst>
              <a:latin typeface="KoPub돋움체 Bold" panose="00000800000000000000" pitchFamily="2" charset="-127"/>
              <a:ea typeface="KoPub돋움체 Bold" panose="00000800000000000000" pitchFamily="2" charset="-127"/>
            </a:rPr>
            <a:t> </a:t>
          </a:r>
          <a:r>
            <a:rPr lang="ko-KR" altLang="en-US" sz="8800" baseline="0">
              <a:effectLst>
                <a:glow rad="127000">
                  <a:schemeClr val="bg1"/>
                </a:glow>
              </a:effectLst>
              <a:latin typeface="KoPub돋움체 Bold" panose="00000800000000000000" pitchFamily="2" charset="-127"/>
              <a:ea typeface="KoPub돋움체 Bold" panose="00000800000000000000" pitchFamily="2" charset="-127"/>
            </a:rPr>
            <a:t>정확한 호실 입력</a:t>
          </a:r>
          <a:endParaRPr lang="ko-KR" altLang="en-US" sz="8800">
            <a:effectLst>
              <a:glow rad="127000">
                <a:schemeClr val="bg1"/>
              </a:glow>
            </a:effectLst>
            <a:latin typeface="KoPub돋움체 Bold" panose="00000800000000000000" pitchFamily="2" charset="-127"/>
            <a:ea typeface="KoPub돋움체 Bold" panose="00000800000000000000" pitchFamily="2" charset="-127"/>
          </a:endParaRPr>
        </a:p>
      </xdr:txBody>
    </xdr:sp>
    <xdr:clientData/>
  </xdr:oneCellAnchor>
  <xdr:oneCellAnchor>
    <xdr:from>
      <xdr:col>28</xdr:col>
      <xdr:colOff>457200</xdr:colOff>
      <xdr:row>21</xdr:row>
      <xdr:rowOff>228599</xdr:rowOff>
    </xdr:from>
    <xdr:ext cx="6705600" cy="1706108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 txBox="1"/>
      </xdr:nvSpPr>
      <xdr:spPr>
        <a:xfrm>
          <a:off x="20726400" y="13030199"/>
          <a:ext cx="6705600" cy="1706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ko-KR" altLang="en-US" sz="8800">
              <a:effectLst>
                <a:glow rad="127000">
                  <a:schemeClr val="bg1"/>
                </a:glow>
              </a:effectLst>
              <a:latin typeface="KoPub돋움체 Bold" panose="00000800000000000000" pitchFamily="2" charset="-127"/>
              <a:ea typeface="KoPub돋움체 Bold" panose="00000800000000000000" pitchFamily="2" charset="-127"/>
            </a:rPr>
            <a:t>청약금</a:t>
          </a:r>
          <a:r>
            <a:rPr lang="ko-KR" altLang="en-US" sz="8800" baseline="0">
              <a:effectLst>
                <a:glow rad="127000">
                  <a:schemeClr val="bg1"/>
                </a:glow>
              </a:effectLst>
              <a:latin typeface="KoPub돋움체 Bold" panose="00000800000000000000" pitchFamily="2" charset="-127"/>
              <a:ea typeface="KoPub돋움체 Bold" panose="00000800000000000000" pitchFamily="2" charset="-127"/>
            </a:rPr>
            <a:t> 납입칸</a:t>
          </a:r>
          <a:endParaRPr lang="ko-KR" altLang="en-US" sz="8800">
            <a:effectLst>
              <a:glow rad="127000">
                <a:schemeClr val="bg1"/>
              </a:glow>
            </a:effectLst>
            <a:latin typeface="KoPub돋움체 Bold" panose="00000800000000000000" pitchFamily="2" charset="-127"/>
            <a:ea typeface="KoPub돋움체 Bold" panose="00000800000000000000" pitchFamily="2" charset="-127"/>
          </a:endParaRPr>
        </a:p>
      </xdr:txBody>
    </xdr:sp>
    <xdr:clientData/>
  </xdr:oneCellAnchor>
  <xdr:oneCellAnchor>
    <xdr:from>
      <xdr:col>28</xdr:col>
      <xdr:colOff>457200</xdr:colOff>
      <xdr:row>9</xdr:row>
      <xdr:rowOff>533399</xdr:rowOff>
    </xdr:from>
    <xdr:ext cx="6705600" cy="1706108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 txBox="1"/>
      </xdr:nvSpPr>
      <xdr:spPr>
        <a:xfrm>
          <a:off x="20726400" y="6019799"/>
          <a:ext cx="6705600" cy="1706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ko-KR" altLang="en-US" sz="8800">
              <a:effectLst>
                <a:glow rad="127000">
                  <a:schemeClr val="bg1"/>
                </a:glow>
              </a:effectLst>
              <a:latin typeface="KoPub돋움체 Bold" panose="00000800000000000000" pitchFamily="2" charset="-127"/>
              <a:ea typeface="KoPub돋움체 Bold" panose="00000800000000000000" pitchFamily="2" charset="-127"/>
            </a:rPr>
            <a:t>청약금</a:t>
          </a:r>
          <a:r>
            <a:rPr lang="ko-KR" altLang="en-US" sz="8800" baseline="0">
              <a:effectLst>
                <a:glow rad="127000">
                  <a:schemeClr val="bg1"/>
                </a:glow>
              </a:effectLst>
              <a:latin typeface="KoPub돋움체 Bold" panose="00000800000000000000" pitchFamily="2" charset="-127"/>
              <a:ea typeface="KoPub돋움체 Bold" panose="00000800000000000000" pitchFamily="2" charset="-127"/>
            </a:rPr>
            <a:t> 납입칸</a:t>
          </a:r>
          <a:endParaRPr lang="ko-KR" altLang="en-US" sz="8800">
            <a:effectLst>
              <a:glow rad="127000">
                <a:schemeClr val="bg1"/>
              </a:glow>
            </a:effectLst>
            <a:latin typeface="KoPub돋움체 Bold" panose="00000800000000000000" pitchFamily="2" charset="-127"/>
            <a:ea typeface="KoPub돋움체 Bold" panose="00000800000000000000" pitchFamily="2" charset="-127"/>
          </a:endParaRPr>
        </a:p>
      </xdr:txBody>
    </xdr:sp>
    <xdr:clientData/>
  </xdr:oneCellAnchor>
  <xdr:oneCellAnchor>
    <xdr:from>
      <xdr:col>45</xdr:col>
      <xdr:colOff>342900</xdr:colOff>
      <xdr:row>6</xdr:row>
      <xdr:rowOff>-1</xdr:rowOff>
    </xdr:from>
    <xdr:ext cx="2895600" cy="1706108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 txBox="1"/>
      </xdr:nvSpPr>
      <xdr:spPr>
        <a:xfrm>
          <a:off x="32918400" y="3657599"/>
          <a:ext cx="2895600" cy="1706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ko-KR" altLang="en-US" sz="8800">
              <a:effectLst>
                <a:glow rad="127000">
                  <a:schemeClr val="bg1"/>
                </a:glow>
              </a:effectLst>
              <a:latin typeface="KoPub돋움체 Bold" panose="00000800000000000000" pitchFamily="2" charset="-127"/>
              <a:ea typeface="KoPub돋움체 Bold" panose="00000800000000000000" pitchFamily="2" charset="-127"/>
            </a:rPr>
            <a:t>비고</a:t>
          </a:r>
        </a:p>
      </xdr:txBody>
    </xdr:sp>
    <xdr:clientData/>
  </xdr:oneCellAnchor>
  <xdr:oneCellAnchor>
    <xdr:from>
      <xdr:col>45</xdr:col>
      <xdr:colOff>342900</xdr:colOff>
      <xdr:row>17</xdr:row>
      <xdr:rowOff>76199</xdr:rowOff>
    </xdr:from>
    <xdr:ext cx="2895600" cy="1706108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 txBox="1"/>
      </xdr:nvSpPr>
      <xdr:spPr>
        <a:xfrm>
          <a:off x="32918400" y="10439399"/>
          <a:ext cx="2895600" cy="1706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ko-KR" altLang="en-US" sz="8800">
              <a:effectLst>
                <a:glow rad="127000">
                  <a:schemeClr val="bg1"/>
                </a:glow>
              </a:effectLst>
              <a:latin typeface="KoPub돋움체 Bold" panose="00000800000000000000" pitchFamily="2" charset="-127"/>
              <a:ea typeface="KoPub돋움체 Bold" panose="00000800000000000000" pitchFamily="2" charset="-127"/>
            </a:rPr>
            <a:t>비고</a:t>
          </a:r>
        </a:p>
      </xdr:txBody>
    </xdr:sp>
    <xdr:clientData/>
  </xdr:oneCellAnchor>
  <xdr:oneCellAnchor>
    <xdr:from>
      <xdr:col>3</xdr:col>
      <xdr:colOff>571500</xdr:colOff>
      <xdr:row>32</xdr:row>
      <xdr:rowOff>457199</xdr:rowOff>
    </xdr:from>
    <xdr:ext cx="33832800" cy="3319883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 txBox="1"/>
      </xdr:nvSpPr>
      <xdr:spPr>
        <a:xfrm>
          <a:off x="2743200" y="19964399"/>
          <a:ext cx="33832800" cy="33198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ko-KR" altLang="en-US" sz="8800">
              <a:effectLst>
                <a:glow rad="127000">
                  <a:schemeClr val="bg1"/>
                </a:glow>
              </a:effectLst>
              <a:latin typeface="KoPub돋움체 Bold" panose="00000800000000000000" pitchFamily="2" charset="-127"/>
              <a:ea typeface="KoPub돋움체 Bold" panose="00000800000000000000" pitchFamily="2" charset="-127"/>
            </a:rPr>
            <a:t>위 </a:t>
          </a:r>
          <a:r>
            <a:rPr lang="ko-KR" altLang="en-US" sz="8800" baseline="0">
              <a:effectLst>
                <a:glow rad="127000">
                  <a:schemeClr val="bg1"/>
                </a:glow>
              </a:effectLst>
              <a:latin typeface="KoPub돋움체 Bold" panose="00000800000000000000" pitchFamily="2" charset="-127"/>
              <a:ea typeface="KoPub돋움체 Bold" panose="00000800000000000000" pitchFamily="2" charset="-127"/>
            </a:rPr>
            <a:t>사항과 관련없는 칸들은 시트보호되어 있어 수정 불가함으로</a:t>
          </a:r>
          <a:r>
            <a:rPr lang="en-US" altLang="ko-KR" sz="8800" baseline="0">
              <a:effectLst>
                <a:glow rad="127000">
                  <a:schemeClr val="bg1"/>
                </a:glow>
              </a:effectLst>
              <a:latin typeface="KoPub돋움체 Bold" panose="00000800000000000000" pitchFamily="2" charset="-127"/>
              <a:ea typeface="KoPub돋움체 Bold" panose="00000800000000000000" pitchFamily="2" charset="-127"/>
            </a:rPr>
            <a:t>, </a:t>
          </a:r>
          <a:r>
            <a:rPr lang="ko-KR" altLang="en-US" sz="8800" baseline="0">
              <a:effectLst>
                <a:glow rad="127000">
                  <a:schemeClr val="bg1"/>
                </a:glow>
              </a:effectLst>
              <a:latin typeface="KoPub돋움체 Bold" panose="00000800000000000000" pitchFamily="2" charset="-127"/>
              <a:ea typeface="KoPub돋움체 Bold" panose="00000800000000000000" pitchFamily="2" charset="-127"/>
            </a:rPr>
            <a:t>변경이 필요할 시엔 유케이아이디에 문의 바랍니다</a:t>
          </a:r>
          <a:r>
            <a:rPr lang="en-US" altLang="ko-KR" sz="8800" baseline="0">
              <a:effectLst>
                <a:glow rad="127000">
                  <a:schemeClr val="bg1"/>
                </a:glow>
              </a:effectLst>
              <a:latin typeface="KoPub돋움체 Bold" panose="00000800000000000000" pitchFamily="2" charset="-127"/>
              <a:ea typeface="KoPub돋움체 Bold" panose="00000800000000000000" pitchFamily="2" charset="-127"/>
            </a:rPr>
            <a:t>.</a:t>
          </a:r>
          <a:endParaRPr lang="ko-KR" altLang="en-US" sz="8800">
            <a:effectLst>
              <a:glow rad="127000">
                <a:schemeClr val="bg1"/>
              </a:glow>
            </a:effectLst>
            <a:latin typeface="KoPub돋움체 Bold" panose="00000800000000000000" pitchFamily="2" charset="-127"/>
            <a:ea typeface="KoPub돋움체 Bold" panose="00000800000000000000" pitchFamily="2" charset="-127"/>
          </a:endParaRPr>
        </a:p>
      </xdr:txBody>
    </xdr:sp>
    <xdr:clientData/>
  </xdr:oneCellAnchor>
  <xdr:twoCellAnchor editAs="oneCell">
    <xdr:from>
      <xdr:col>2</xdr:col>
      <xdr:colOff>0</xdr:colOff>
      <xdr:row>2</xdr:row>
      <xdr:rowOff>12674</xdr:rowOff>
    </xdr:from>
    <xdr:to>
      <xdr:col>17</xdr:col>
      <xdr:colOff>364193</xdr:colOff>
      <xdr:row>4</xdr:row>
      <xdr:rowOff>242140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90FBC4EC-CDE8-40A1-A1F3-0FF22237D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0" y="1231874"/>
          <a:ext cx="11222693" cy="1448666"/>
        </a:xfrm>
        <a:prstGeom prst="rect">
          <a:avLst/>
        </a:prstGeom>
      </xdr:spPr>
    </xdr:pic>
    <xdr:clientData/>
  </xdr:twoCellAnchor>
  <xdr:oneCellAnchor>
    <xdr:from>
      <xdr:col>17</xdr:col>
      <xdr:colOff>498554</xdr:colOff>
      <xdr:row>1</xdr:row>
      <xdr:rowOff>76200</xdr:rowOff>
    </xdr:from>
    <xdr:ext cx="17561525" cy="254569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C85A5EE-A454-4AFA-BFBA-1DE40892F5F9}"/>
            </a:ext>
          </a:extLst>
        </xdr:cNvPr>
        <xdr:cNvSpPr txBox="1"/>
      </xdr:nvSpPr>
      <xdr:spPr>
        <a:xfrm>
          <a:off x="12804854" y="685800"/>
          <a:ext cx="17561525" cy="2545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3000" b="1">
              <a:ln>
                <a:solidFill>
                  <a:schemeClr val="tx1">
                    <a:lumMod val="85000"/>
                    <a:lumOff val="15000"/>
                  </a:schemeClr>
                </a:solidFill>
              </a:ln>
              <a:latin typeface="Rix헤드 M" panose="02020603020101020101" pitchFamily="18" charset="-127"/>
              <a:ea typeface="Rix헤드 M" panose="02020603020101020101" pitchFamily="18" charset="-127"/>
            </a:rPr>
            <a:t>클라우드힐스 마곡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1053F-9C56-49C7-B462-B645E33F0482}">
  <sheetPr>
    <tabColor rgb="FF0070C0"/>
    <pageSetUpPr fitToPage="1"/>
  </sheetPr>
  <dimension ref="A1:BB60"/>
  <sheetViews>
    <sheetView view="pageBreakPreview" topLeftCell="A4" zoomScale="40" zoomScaleNormal="40" zoomScaleSheetLayoutView="40" zoomScalePageLayoutView="25" workbookViewId="0">
      <selection activeCell="AL42" sqref="AL42:AP42"/>
    </sheetView>
  </sheetViews>
  <sheetFormatPr defaultRowHeight="45"/>
  <cols>
    <col min="1" max="1" width="9.375" style="7" customWidth="1"/>
    <col min="2" max="2" width="10.625" style="7" customWidth="1"/>
    <col min="3" max="10" width="9.375" style="7" customWidth="1"/>
    <col min="11" max="22" width="11.625" style="7" customWidth="1"/>
    <col min="23" max="25" width="9.375" style="7" customWidth="1"/>
    <col min="26" max="26" width="11.25" style="7" customWidth="1"/>
    <col min="27" max="33" width="9.375" style="7" customWidth="1"/>
    <col min="34" max="34" width="11" style="7" customWidth="1"/>
    <col min="35" max="49" width="9.375" style="7" customWidth="1"/>
    <col min="50" max="50" width="11.625" style="7" customWidth="1"/>
    <col min="51" max="51" width="10.625" style="7" customWidth="1"/>
    <col min="52" max="52" width="8.5" style="7" customWidth="1"/>
  </cols>
  <sheetData>
    <row r="1" spans="1:54" ht="46.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"/>
      <c r="BB1" s="1" t="s">
        <v>60</v>
      </c>
    </row>
    <row r="2" spans="1:54" ht="39.75" customHeight="1">
      <c r="A2" s="1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10"/>
      <c r="BA2" s="2"/>
      <c r="BB2" s="1" t="s">
        <v>61</v>
      </c>
    </row>
    <row r="3" spans="1:54" ht="39.75" customHeight="1">
      <c r="A3" s="10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10"/>
      <c r="BA3" s="2"/>
      <c r="BB3" s="1" t="s">
        <v>62</v>
      </c>
    </row>
    <row r="4" spans="1:54" ht="39.75" customHeight="1">
      <c r="A4" s="10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10"/>
      <c r="BA4" s="2"/>
      <c r="BB4" s="1"/>
    </row>
    <row r="5" spans="1:54" ht="39.75" customHeight="1">
      <c r="A5" s="10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3"/>
      <c r="AR5" s="3"/>
      <c r="AS5" s="3"/>
      <c r="AT5" s="8" t="s">
        <v>50</v>
      </c>
      <c r="AU5" s="8"/>
      <c r="AV5" s="235">
        <f ca="1">TODAY()</f>
        <v>45860</v>
      </c>
      <c r="AW5" s="235"/>
      <c r="AX5" s="235"/>
      <c r="AY5" s="2"/>
      <c r="AZ5" s="10"/>
      <c r="BA5" s="2"/>
      <c r="BB5" s="1"/>
    </row>
    <row r="6" spans="1:54" ht="39.950000000000003" customHeight="1">
      <c r="A6" s="10"/>
      <c r="B6" s="2"/>
      <c r="C6" s="50" t="s">
        <v>22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236"/>
      <c r="AR6" s="236"/>
      <c r="AS6" s="236"/>
      <c r="AT6" s="236"/>
      <c r="AU6" s="210" t="s">
        <v>51</v>
      </c>
      <c r="AV6" s="211"/>
      <c r="AW6" s="211"/>
      <c r="AX6" s="211"/>
      <c r="AY6" s="2"/>
      <c r="AZ6" s="10"/>
      <c r="BA6" s="2"/>
      <c r="BB6" s="1"/>
    </row>
    <row r="7" spans="1:54" ht="35.25" customHeight="1">
      <c r="A7" s="10"/>
      <c r="B7" s="2"/>
      <c r="C7" s="237" t="s">
        <v>9</v>
      </c>
      <c r="D7" s="238"/>
      <c r="E7" s="237" t="s">
        <v>10</v>
      </c>
      <c r="F7" s="243"/>
      <c r="G7" s="243"/>
      <c r="H7" s="243"/>
      <c r="I7" s="243"/>
      <c r="J7" s="238"/>
      <c r="K7" s="224" t="s">
        <v>14</v>
      </c>
      <c r="L7" s="224"/>
      <c r="M7" s="224"/>
      <c r="N7" s="224"/>
      <c r="O7" s="224"/>
      <c r="P7" s="224"/>
      <c r="Q7" s="224"/>
      <c r="R7" s="224"/>
      <c r="S7" s="224"/>
      <c r="T7" s="224"/>
      <c r="U7" s="224"/>
      <c r="V7" s="224"/>
      <c r="W7" s="246" t="s">
        <v>57</v>
      </c>
      <c r="X7" s="224"/>
      <c r="Y7" s="224"/>
      <c r="Z7" s="224"/>
      <c r="AA7" s="224" t="s">
        <v>1</v>
      </c>
      <c r="AB7" s="224"/>
      <c r="AC7" s="224"/>
      <c r="AD7" s="224"/>
      <c r="AE7" s="246" t="s">
        <v>58</v>
      </c>
      <c r="AF7" s="224"/>
      <c r="AG7" s="224"/>
      <c r="AH7" s="224"/>
      <c r="AI7" s="229" t="s">
        <v>11</v>
      </c>
      <c r="AJ7" s="230"/>
      <c r="AK7" s="230"/>
      <c r="AL7" s="231"/>
      <c r="AM7" s="224" t="s">
        <v>12</v>
      </c>
      <c r="AN7" s="224"/>
      <c r="AO7" s="224"/>
      <c r="AP7" s="224"/>
      <c r="AQ7" s="224"/>
      <c r="AR7" s="224"/>
      <c r="AS7" s="224"/>
      <c r="AT7" s="224"/>
      <c r="AU7" s="224" t="s">
        <v>2</v>
      </c>
      <c r="AV7" s="224"/>
      <c r="AW7" s="224"/>
      <c r="AX7" s="224"/>
      <c r="AY7" s="2"/>
      <c r="AZ7" s="10"/>
      <c r="BA7" s="2"/>
      <c r="BB7" s="1"/>
    </row>
    <row r="8" spans="1:54" ht="33" customHeight="1">
      <c r="A8" s="10"/>
      <c r="B8" s="2"/>
      <c r="C8" s="239"/>
      <c r="D8" s="240"/>
      <c r="E8" s="239"/>
      <c r="F8" s="244"/>
      <c r="G8" s="244"/>
      <c r="H8" s="244"/>
      <c r="I8" s="244"/>
      <c r="J8" s="240"/>
      <c r="K8" s="224" t="s">
        <v>4</v>
      </c>
      <c r="L8" s="224"/>
      <c r="M8" s="224"/>
      <c r="N8" s="224"/>
      <c r="O8" s="224" t="s">
        <v>7</v>
      </c>
      <c r="P8" s="224"/>
      <c r="Q8" s="224"/>
      <c r="R8" s="224"/>
      <c r="S8" s="224" t="s">
        <v>15</v>
      </c>
      <c r="T8" s="224"/>
      <c r="U8" s="224"/>
      <c r="V8" s="224"/>
      <c r="W8" s="224"/>
      <c r="X8" s="224"/>
      <c r="Y8" s="224"/>
      <c r="Z8" s="224"/>
      <c r="AA8" s="224"/>
      <c r="AB8" s="224"/>
      <c r="AC8" s="224"/>
      <c r="AD8" s="224"/>
      <c r="AE8" s="224"/>
      <c r="AF8" s="224"/>
      <c r="AG8" s="224"/>
      <c r="AH8" s="224"/>
      <c r="AI8" s="232"/>
      <c r="AJ8" s="233"/>
      <c r="AK8" s="233"/>
      <c r="AL8" s="234"/>
      <c r="AM8" s="224" t="s">
        <v>17</v>
      </c>
      <c r="AN8" s="224"/>
      <c r="AO8" s="224"/>
      <c r="AP8" s="224"/>
      <c r="AQ8" s="224" t="s">
        <v>18</v>
      </c>
      <c r="AR8" s="224"/>
      <c r="AS8" s="224"/>
      <c r="AT8" s="224"/>
      <c r="AU8" s="224"/>
      <c r="AV8" s="224"/>
      <c r="AW8" s="224"/>
      <c r="AX8" s="224"/>
      <c r="AY8" s="2"/>
      <c r="AZ8" s="10"/>
      <c r="BA8" s="2"/>
      <c r="BB8" s="1"/>
    </row>
    <row r="9" spans="1:54" ht="29.25" customHeight="1">
      <c r="A9" s="10"/>
      <c r="B9" s="2"/>
      <c r="C9" s="241"/>
      <c r="D9" s="242"/>
      <c r="E9" s="241"/>
      <c r="F9" s="245"/>
      <c r="G9" s="245"/>
      <c r="H9" s="245"/>
      <c r="I9" s="245"/>
      <c r="J9" s="242"/>
      <c r="K9" s="224" t="s">
        <v>5</v>
      </c>
      <c r="L9" s="224"/>
      <c r="M9" s="224" t="s">
        <v>6</v>
      </c>
      <c r="N9" s="224"/>
      <c r="O9" s="224" t="s">
        <v>5</v>
      </c>
      <c r="P9" s="224"/>
      <c r="Q9" s="224" t="s">
        <v>6</v>
      </c>
      <c r="R9" s="224"/>
      <c r="S9" s="224" t="s">
        <v>5</v>
      </c>
      <c r="T9" s="224"/>
      <c r="U9" s="224" t="s">
        <v>6</v>
      </c>
      <c r="V9" s="224"/>
      <c r="W9" s="224"/>
      <c r="X9" s="224"/>
      <c r="Y9" s="224"/>
      <c r="Z9" s="224"/>
      <c r="AA9" s="224"/>
      <c r="AB9" s="224"/>
      <c r="AC9" s="224"/>
      <c r="AD9" s="224"/>
      <c r="AE9" s="224"/>
      <c r="AF9" s="224"/>
      <c r="AG9" s="224"/>
      <c r="AH9" s="224"/>
      <c r="AI9" s="223">
        <v>0.1</v>
      </c>
      <c r="AJ9" s="224"/>
      <c r="AK9" s="224"/>
      <c r="AL9" s="224"/>
      <c r="AM9" s="224" t="s">
        <v>13</v>
      </c>
      <c r="AN9" s="224"/>
      <c r="AO9" s="224"/>
      <c r="AP9" s="224"/>
      <c r="AQ9" s="224" t="s">
        <v>20</v>
      </c>
      <c r="AR9" s="224"/>
      <c r="AS9" s="224"/>
      <c r="AT9" s="224"/>
      <c r="AU9" s="224"/>
      <c r="AV9" s="224"/>
      <c r="AW9" s="224"/>
      <c r="AX9" s="224"/>
      <c r="AY9" s="2"/>
      <c r="AZ9" s="10"/>
      <c r="BA9" s="2"/>
      <c r="BB9" s="1"/>
    </row>
    <row r="10" spans="1:54" ht="39.950000000000003" customHeight="1">
      <c r="A10" s="10"/>
      <c r="B10" s="2"/>
      <c r="C10" s="180" t="s">
        <v>479</v>
      </c>
      <c r="D10" s="181"/>
      <c r="E10" s="182" t="str">
        <f>IF($C10="","",VLOOKUP($C10,'분양가테이블(부가세기입X)'!$A$6:$AF$358,2,FALSE))</f>
        <v>업무시설(지식산업센터)</v>
      </c>
      <c r="F10" s="183"/>
      <c r="G10" s="183"/>
      <c r="H10" s="184"/>
      <c r="I10" s="219" t="str">
        <f>IF($C10="","",VLOOKUP($C10,'분양가테이블(부가세기입X)'!$A$6:$AF$358,3,FALSE))</f>
        <v>분양</v>
      </c>
      <c r="J10" s="220"/>
      <c r="K10" s="188">
        <f>IF($C10="","",VLOOKUP($C10,'분양가테이블(부가세기입X)'!$A$6:$AF$358,4,FALSE))</f>
        <v>105.76</v>
      </c>
      <c r="L10" s="188"/>
      <c r="M10" s="188">
        <f>IF($C10="","",VLOOKUP($C10,'분양가테이블(부가세기입X)'!$A$6:$AF$358,5,FALSE))</f>
        <v>31.9924</v>
      </c>
      <c r="N10" s="188"/>
      <c r="O10" s="188">
        <f>IF($C10="","",VLOOKUP($C10,'분양가테이블(부가세기입X)'!$A$6:$AF$358,12,FALSE))</f>
        <v>124.98</v>
      </c>
      <c r="P10" s="188"/>
      <c r="Q10" s="188">
        <f>IF($C10="","",VLOOKUP($C10,'분양가테이블(부가세기입X)'!$A$6:$AF$358,13,FALSE))</f>
        <v>37.806449999999998</v>
      </c>
      <c r="R10" s="188"/>
      <c r="S10" s="188">
        <f>IF($C10="","",VLOOKUP($C10,'분양가테이블(부가세기입X)'!$A$6:$AF$358,6,FALSE))</f>
        <v>230.74</v>
      </c>
      <c r="T10" s="188"/>
      <c r="U10" s="188">
        <f>IF($C10="","",VLOOKUP($C10,'분양가테이블(부가세기입X)'!$A$6:$AF$358,7,FALSE))</f>
        <v>69.798850000000002</v>
      </c>
      <c r="V10" s="188"/>
      <c r="W10" s="177">
        <f>IF($C10="","",VLOOKUP($C10,'분양가테이블(부가세기입X)'!$A$6:$AF$358,22,FALSE))</f>
        <v>1569000000</v>
      </c>
      <c r="X10" s="177"/>
      <c r="Y10" s="177" t="str">
        <f>IF($C10="","",VLOOKUP($C10,'분양가테이블(부가세기입X)'!$A$6:$AF$358,3,FALSE))</f>
        <v>분양</v>
      </c>
      <c r="Z10" s="177"/>
      <c r="AA10" s="177">
        <f>IF($C10="","",VLOOKUP($C10,'분양가테이블(부가세기입X)'!$A$6:$AF$358,23,FALSE))</f>
        <v>86295000.000000015</v>
      </c>
      <c r="AB10" s="177"/>
      <c r="AC10" s="177" t="str">
        <f>IF($C10="","",VLOOKUP($C10,'분양가테이블(부가세기입X)'!$A$6:$AF$358,3,FALSE))</f>
        <v>분양</v>
      </c>
      <c r="AD10" s="177"/>
      <c r="AE10" s="177">
        <f>IF($C10="","",VLOOKUP($C10,'분양가테이블(부가세기입X)'!$A$6:$AF$358,24,FALSE))</f>
        <v>1655295000</v>
      </c>
      <c r="AF10" s="177"/>
      <c r="AG10" s="177" t="str">
        <f>IF($C10="","",VLOOKUP($C10,'분양가테이블(부가세기입X)'!$A$6:$AF$358,3,FALSE))</f>
        <v>분양</v>
      </c>
      <c r="AH10" s="177"/>
      <c r="AI10" s="177">
        <f>IF($C10="","",VLOOKUP($C10,'분양가테이블(부가세기입X)'!$A$6:$AF$358,25,FALSE))</f>
        <v>165529500</v>
      </c>
      <c r="AJ10" s="177"/>
      <c r="AK10" s="177" t="str">
        <f>IF($C10="","",VLOOKUP($C10,'분양가테이블(부가세기입X)'!$A$6:$AF$358,3,FALSE))</f>
        <v>분양</v>
      </c>
      <c r="AL10" s="177"/>
      <c r="AM10" s="225"/>
      <c r="AN10" s="225"/>
      <c r="AO10" s="225"/>
      <c r="AP10" s="225"/>
      <c r="AQ10" s="226">
        <f>AI10</f>
        <v>165529500</v>
      </c>
      <c r="AR10" s="227"/>
      <c r="AS10" s="227" t="str">
        <f>IF($C10="","",VLOOKUP($C10,'분양가테이블(부가세기입X)'!$A$6:$AF$358,3,FALSE))</f>
        <v>분양</v>
      </c>
      <c r="AT10" s="228"/>
      <c r="AU10" s="222"/>
      <c r="AV10" s="222"/>
      <c r="AW10" s="222"/>
      <c r="AX10" s="222"/>
      <c r="AY10" s="2"/>
      <c r="AZ10" s="10"/>
      <c r="BA10" s="2"/>
      <c r="BB10" s="1"/>
    </row>
    <row r="11" spans="1:54" ht="39.950000000000003" customHeight="1">
      <c r="A11" s="10"/>
      <c r="B11" s="2"/>
      <c r="C11" s="180" t="s">
        <v>478</v>
      </c>
      <c r="D11" s="181"/>
      <c r="E11" s="182" t="str">
        <f>IF($C11="","",VLOOKUP($C11,'분양가테이블(부가세기입X)'!$A$6:$AF$358,2,FALSE))</f>
        <v>업무시설(지식산업센터)</v>
      </c>
      <c r="F11" s="183"/>
      <c r="G11" s="183"/>
      <c r="H11" s="184"/>
      <c r="I11" s="219" t="str">
        <f>IF($C11="","",VLOOKUP($C11,'분양가테이블(부가세기입X)'!$A$6:$AF$358,3,FALSE))</f>
        <v>분양</v>
      </c>
      <c r="J11" s="220"/>
      <c r="K11" s="188">
        <f>IF($C11="","",VLOOKUP($C11,'분양가테이블(부가세기입X)'!$A$6:$AF$358,4,FALSE))</f>
        <v>112.03</v>
      </c>
      <c r="L11" s="188"/>
      <c r="M11" s="188">
        <f>IF($C11="","",VLOOKUP($C11,'분양가테이블(부가세기입X)'!$A$6:$AF$358,5,FALSE))</f>
        <v>33.889074999999998</v>
      </c>
      <c r="N11" s="188"/>
      <c r="O11" s="188">
        <f>IF($C11="","",VLOOKUP($C11,'분양가테이블(부가세기입X)'!$A$6:$AF$358,12,FALSE))</f>
        <v>132.38</v>
      </c>
      <c r="P11" s="188"/>
      <c r="Q11" s="188">
        <f>IF($C11="","",VLOOKUP($C11,'분양가테이블(부가세기입X)'!$A$6:$AF$358,13,FALSE))</f>
        <v>40.04495</v>
      </c>
      <c r="R11" s="188"/>
      <c r="S11" s="188">
        <f>IF($C11="","",VLOOKUP($C11,'분양가테이블(부가세기입X)'!$A$6:$AF$358,6,FALSE))</f>
        <v>244.41</v>
      </c>
      <c r="T11" s="188"/>
      <c r="U11" s="188">
        <f>IF($C11="","",VLOOKUP($C11,'분양가테이블(부가세기입X)'!$A$6:$AF$358,7,FALSE))</f>
        <v>73.934024999999991</v>
      </c>
      <c r="V11" s="188"/>
      <c r="W11" s="177">
        <f>IF($C11="","",VLOOKUP($C11,'분양가테이블(부가세기입X)'!$A$6:$AF$358,22,FALSE))</f>
        <v>1662300000</v>
      </c>
      <c r="X11" s="177"/>
      <c r="Y11" s="177" t="str">
        <f>IF($C11="","",VLOOKUP($C11,'분양가테이블(부가세기입X)'!$A$6:$AF$358,3,FALSE))</f>
        <v>분양</v>
      </c>
      <c r="Z11" s="177"/>
      <c r="AA11" s="177">
        <f>IF($C11="","",VLOOKUP($C11,'분양가테이블(부가세기입X)'!$A$6:$AF$358,23,FALSE))</f>
        <v>91426500.000000015</v>
      </c>
      <c r="AB11" s="177"/>
      <c r="AC11" s="177" t="str">
        <f>IF($C11="","",VLOOKUP($C11,'분양가테이블(부가세기입X)'!$A$6:$AF$358,3,FALSE))</f>
        <v>분양</v>
      </c>
      <c r="AD11" s="177"/>
      <c r="AE11" s="177">
        <f>IF($C11="","",VLOOKUP($C11,'분양가테이블(부가세기입X)'!$A$6:$AF$358,24,FALSE))</f>
        <v>1753726500</v>
      </c>
      <c r="AF11" s="177"/>
      <c r="AG11" s="177" t="str">
        <f>IF($C11="","",VLOOKUP($C11,'분양가테이블(부가세기입X)'!$A$6:$AF$358,3,FALSE))</f>
        <v>분양</v>
      </c>
      <c r="AH11" s="177"/>
      <c r="AI11" s="177">
        <f>IF($C11="","",VLOOKUP($C11,'분양가테이블(부가세기입X)'!$A$6:$AF$358,25,FALSE))</f>
        <v>175372650</v>
      </c>
      <c r="AJ11" s="177"/>
      <c r="AK11" s="177" t="str">
        <f>IF($C11="","",VLOOKUP($C11,'분양가테이블(부가세기입X)'!$A$6:$AF$358,3,FALSE))</f>
        <v>분양</v>
      </c>
      <c r="AL11" s="177"/>
      <c r="AM11" s="221"/>
      <c r="AN11" s="221"/>
      <c r="AO11" s="221"/>
      <c r="AP11" s="221"/>
      <c r="AQ11" s="177">
        <f t="shared" ref="AQ11:AQ37" si="0">AI11</f>
        <v>175372650</v>
      </c>
      <c r="AR11" s="177"/>
      <c r="AS11" s="177" t="str">
        <f>IF($C11="","",VLOOKUP($C11,'분양가테이블(부가세기입X)'!$A$6:$AF$358,3,FALSE))</f>
        <v>분양</v>
      </c>
      <c r="AT11" s="177"/>
      <c r="AU11" s="222"/>
      <c r="AV11" s="222"/>
      <c r="AW11" s="222"/>
      <c r="AX11" s="222"/>
      <c r="AY11" s="2"/>
      <c r="AZ11" s="10"/>
      <c r="BA11" s="2"/>
      <c r="BB11" s="1"/>
    </row>
    <row r="12" spans="1:54" ht="39.950000000000003" customHeight="1">
      <c r="A12" s="10"/>
      <c r="B12" s="2"/>
      <c r="C12" s="180" t="s">
        <v>480</v>
      </c>
      <c r="D12" s="181"/>
      <c r="E12" s="182" t="str">
        <f>IF($C12="","",VLOOKUP($C12,'분양가테이블(부가세기입X)'!$A$6:$AF$358,2,FALSE))</f>
        <v>업무시설(지식산업센터)</v>
      </c>
      <c r="F12" s="183"/>
      <c r="G12" s="183"/>
      <c r="H12" s="184"/>
      <c r="I12" s="219" t="str">
        <f>IF($C12="","",VLOOKUP($C12,'분양가테이블(부가세기입X)'!$A$6:$AF$358,3,FALSE))</f>
        <v>분양</v>
      </c>
      <c r="J12" s="220"/>
      <c r="K12" s="188">
        <f>IF($C12="","",VLOOKUP($C12,'분양가테이블(부가세기입X)'!$A$6:$AF$358,4,FALSE))</f>
        <v>78.75</v>
      </c>
      <c r="L12" s="188"/>
      <c r="M12" s="188">
        <f>IF($C12="","",VLOOKUP($C12,'분양가테이블(부가세기입X)'!$A$6:$AF$358,5,FALSE))</f>
        <v>23.821874999999999</v>
      </c>
      <c r="N12" s="188"/>
      <c r="O12" s="188">
        <f>IF($C12="","",VLOOKUP($C12,'분양가테이블(부가세기입X)'!$A$6:$AF$358,12,FALSE))</f>
        <v>93.06</v>
      </c>
      <c r="P12" s="188"/>
      <c r="Q12" s="188">
        <f>IF($C12="","",VLOOKUP($C12,'분양가테이블(부가세기입X)'!$A$6:$AF$358,13,FALSE))</f>
        <v>28.150649999999999</v>
      </c>
      <c r="R12" s="188"/>
      <c r="S12" s="188">
        <f>IF($C12="","",VLOOKUP($C12,'분양가테이블(부가세기입X)'!$A$6:$AF$358,6,FALSE))</f>
        <v>171.81</v>
      </c>
      <c r="T12" s="188"/>
      <c r="U12" s="188">
        <f>IF($C12="","",VLOOKUP($C12,'분양가테이블(부가세기입X)'!$A$6:$AF$358,7,FALSE))</f>
        <v>51.972524999999997</v>
      </c>
      <c r="V12" s="188"/>
      <c r="W12" s="177">
        <f>IF($C12="","",VLOOKUP($C12,'분양가테이블(부가세기입X)'!$A$6:$AF$358,22,FALSE))</f>
        <v>1106100000</v>
      </c>
      <c r="X12" s="177"/>
      <c r="Y12" s="177" t="str">
        <f>IF($C12="","",VLOOKUP($C12,'분양가테이블(부가세기입X)'!$A$6:$AF$358,3,FALSE))</f>
        <v>분양</v>
      </c>
      <c r="Z12" s="177"/>
      <c r="AA12" s="177">
        <f>IF($C12="","",VLOOKUP($C12,'분양가테이블(부가세기입X)'!$A$6:$AF$358,23,FALSE))</f>
        <v>60835500</v>
      </c>
      <c r="AB12" s="177"/>
      <c r="AC12" s="177" t="str">
        <f>IF($C12="","",VLOOKUP($C12,'분양가테이블(부가세기입X)'!$A$6:$AF$358,3,FALSE))</f>
        <v>분양</v>
      </c>
      <c r="AD12" s="177"/>
      <c r="AE12" s="177">
        <f>IF($C12="","",VLOOKUP($C12,'분양가테이블(부가세기입X)'!$A$6:$AF$358,24,FALSE))</f>
        <v>1166935500</v>
      </c>
      <c r="AF12" s="177"/>
      <c r="AG12" s="177" t="str">
        <f>IF($C12="","",VLOOKUP($C12,'분양가테이블(부가세기입X)'!$A$6:$AF$358,3,FALSE))</f>
        <v>분양</v>
      </c>
      <c r="AH12" s="177"/>
      <c r="AI12" s="177">
        <f>IF($C12="","",VLOOKUP($C12,'분양가테이블(부가세기입X)'!$A$6:$AF$358,25,FALSE))</f>
        <v>116693550</v>
      </c>
      <c r="AJ12" s="177"/>
      <c r="AK12" s="177" t="str">
        <f>IF($C12="","",VLOOKUP($C12,'분양가테이블(부가세기입X)'!$A$6:$AF$358,3,FALSE))</f>
        <v>분양</v>
      </c>
      <c r="AL12" s="177"/>
      <c r="AM12" s="221"/>
      <c r="AN12" s="221"/>
      <c r="AO12" s="221"/>
      <c r="AP12" s="221"/>
      <c r="AQ12" s="177">
        <f t="shared" si="0"/>
        <v>116693550</v>
      </c>
      <c r="AR12" s="177"/>
      <c r="AS12" s="177" t="str">
        <f>IF($C12="","",VLOOKUP($C12,'분양가테이블(부가세기입X)'!$A$6:$AF$358,3,FALSE))</f>
        <v>분양</v>
      </c>
      <c r="AT12" s="177"/>
      <c r="AU12" s="222"/>
      <c r="AV12" s="222"/>
      <c r="AW12" s="222"/>
      <c r="AX12" s="222"/>
      <c r="AY12" s="2"/>
      <c r="AZ12" s="10"/>
      <c r="BA12" s="2"/>
      <c r="BB12" s="1"/>
    </row>
    <row r="13" spans="1:54" ht="39.950000000000003" customHeight="1">
      <c r="A13" s="10"/>
      <c r="B13" s="2"/>
      <c r="C13" s="180"/>
      <c r="D13" s="181"/>
      <c r="E13" s="182" t="str">
        <f>IF($C13="","",VLOOKUP($C13,'분양가테이블(부가세기입X)'!$A$6:$AF$358,2,FALSE))</f>
        <v/>
      </c>
      <c r="F13" s="183"/>
      <c r="G13" s="183"/>
      <c r="H13" s="184"/>
      <c r="I13" s="219" t="str">
        <f>IF($C13="","",VLOOKUP($C13,'분양가테이블(부가세기입X)'!$A$6:$AF$358,3,FALSE))</f>
        <v/>
      </c>
      <c r="J13" s="220"/>
      <c r="K13" s="188" t="str">
        <f>IF($C13="","",VLOOKUP($C13,'분양가테이블(부가세기입X)'!$A$6:$AF$358,4,FALSE))</f>
        <v/>
      </c>
      <c r="L13" s="188"/>
      <c r="M13" s="188" t="str">
        <f>IF($C13="","",VLOOKUP($C13,'분양가테이블(부가세기입X)'!$A$6:$AF$358,5,FALSE))</f>
        <v/>
      </c>
      <c r="N13" s="188"/>
      <c r="O13" s="188" t="str">
        <f>IF($C13="","",VLOOKUP($C13,'분양가테이블(부가세기입X)'!$A$6:$AF$358,12,FALSE))</f>
        <v/>
      </c>
      <c r="P13" s="188"/>
      <c r="Q13" s="188" t="str">
        <f>IF($C13="","",VLOOKUP($C13,'분양가테이블(부가세기입X)'!$A$6:$AF$358,13,FALSE))</f>
        <v/>
      </c>
      <c r="R13" s="188"/>
      <c r="S13" s="188" t="str">
        <f>IF($C13="","",VLOOKUP($C13,'분양가테이블(부가세기입X)'!$A$6:$AF$358,6,FALSE))</f>
        <v/>
      </c>
      <c r="T13" s="188"/>
      <c r="U13" s="188" t="str">
        <f>IF($C13="","",VLOOKUP($C13,'분양가테이블(부가세기입X)'!$A$6:$AF$358,7,FALSE))</f>
        <v/>
      </c>
      <c r="V13" s="188"/>
      <c r="W13" s="177" t="str">
        <f>IF($C13="","",VLOOKUP($C13,'분양가테이블(부가세기입X)'!$A$6:$AF$358,22,FALSE))</f>
        <v/>
      </c>
      <c r="X13" s="177"/>
      <c r="Y13" s="177" t="str">
        <f>IF($C13="","",VLOOKUP($C13,'분양가테이블(부가세기입X)'!$A$6:$AF$358,3,FALSE))</f>
        <v/>
      </c>
      <c r="Z13" s="177"/>
      <c r="AA13" s="177" t="str">
        <f>IF($C13="","",VLOOKUP($C13,'분양가테이블(부가세기입X)'!$A$6:$AF$358,23,FALSE))</f>
        <v/>
      </c>
      <c r="AB13" s="177"/>
      <c r="AC13" s="177" t="str">
        <f>IF($C13="","",VLOOKUP($C13,'분양가테이블(부가세기입X)'!$A$6:$AF$358,3,FALSE))</f>
        <v/>
      </c>
      <c r="AD13" s="177"/>
      <c r="AE13" s="177" t="str">
        <f>IF($C13="","",VLOOKUP($C13,'분양가테이블(부가세기입X)'!$A$6:$AF$358,24,FALSE))</f>
        <v/>
      </c>
      <c r="AF13" s="177"/>
      <c r="AG13" s="177" t="str">
        <f>IF($C13="","",VLOOKUP($C13,'분양가테이블(부가세기입X)'!$A$6:$AF$358,3,FALSE))</f>
        <v/>
      </c>
      <c r="AH13" s="177"/>
      <c r="AI13" s="177" t="str">
        <f>IF($C13="","",VLOOKUP($C13,'분양가테이블(부가세기입X)'!$A$6:$AF$358,25,FALSE))</f>
        <v/>
      </c>
      <c r="AJ13" s="177"/>
      <c r="AK13" s="177" t="str">
        <f>IF($C13="","",VLOOKUP($C13,'분양가테이블(부가세기입X)'!$A$6:$AF$358,3,FALSE))</f>
        <v/>
      </c>
      <c r="AL13" s="177"/>
      <c r="AM13" s="221"/>
      <c r="AN13" s="221"/>
      <c r="AO13" s="221"/>
      <c r="AP13" s="221"/>
      <c r="AQ13" s="177" t="str">
        <f t="shared" si="0"/>
        <v/>
      </c>
      <c r="AR13" s="177"/>
      <c r="AS13" s="177" t="str">
        <f>IF($C13="","",VLOOKUP($C13,'분양가테이블(부가세기입X)'!$A$6:$AF$358,3,FALSE))</f>
        <v/>
      </c>
      <c r="AT13" s="177"/>
      <c r="AU13" s="222"/>
      <c r="AV13" s="222"/>
      <c r="AW13" s="222"/>
      <c r="AX13" s="222"/>
      <c r="AY13" s="2"/>
      <c r="AZ13" s="10"/>
      <c r="BA13" s="2"/>
      <c r="BB13" s="1"/>
    </row>
    <row r="14" spans="1:54" ht="39.950000000000003" customHeight="1">
      <c r="A14" s="10"/>
      <c r="B14" s="2"/>
      <c r="C14" s="180"/>
      <c r="D14" s="181"/>
      <c r="E14" s="182" t="str">
        <f>IF($C14="","",VLOOKUP($C14,'분양가테이블(부가세기입X)'!$A$6:$AF$358,2,FALSE))</f>
        <v/>
      </c>
      <c r="F14" s="183"/>
      <c r="G14" s="183"/>
      <c r="H14" s="184"/>
      <c r="I14" s="185" t="str">
        <f>IF($C14="","",VLOOKUP($C14,'분양가테이블(부가세기입X)'!$A$6:$AF$358,3,FALSE))</f>
        <v/>
      </c>
      <c r="J14" s="186"/>
      <c r="K14" s="187" t="str">
        <f>IF($C14="","",VLOOKUP($C14,'분양가테이블(부가세기입X)'!$A$6:$AF$358,4,FALSE))</f>
        <v/>
      </c>
      <c r="L14" s="187"/>
      <c r="M14" s="187" t="str">
        <f>IF($C14="","",VLOOKUP($C14,'분양가테이블(부가세기입X)'!$A$6:$AF$358,5,FALSE))</f>
        <v/>
      </c>
      <c r="N14" s="187"/>
      <c r="O14" s="188" t="str">
        <f>IF($C14="","",VLOOKUP($C14,'분양가테이블(부가세기입X)'!$A$6:$AF$358,12,FALSE))</f>
        <v/>
      </c>
      <c r="P14" s="188"/>
      <c r="Q14" s="188" t="str">
        <f>IF($C14="","",VLOOKUP($C14,'분양가테이블(부가세기입X)'!$A$6:$AF$358,13,FALSE))</f>
        <v/>
      </c>
      <c r="R14" s="188"/>
      <c r="S14" s="188" t="str">
        <f>IF($C14="","",VLOOKUP($C14,'분양가테이블(부가세기입X)'!$A$6:$AF$358,6,FALSE))</f>
        <v/>
      </c>
      <c r="T14" s="188"/>
      <c r="U14" s="188" t="str">
        <f>IF($C14="","",VLOOKUP($C14,'분양가테이블(부가세기입X)'!$A$6:$AF$358,7,FALSE))</f>
        <v/>
      </c>
      <c r="V14" s="188"/>
      <c r="W14" s="177" t="str">
        <f>IF($C14="","",VLOOKUP($C14,'분양가테이블(부가세기입X)'!$A$6:$AF$358,22,FALSE))</f>
        <v/>
      </c>
      <c r="X14" s="177"/>
      <c r="Y14" s="177" t="str">
        <f>IF($C14="","",VLOOKUP($C14,'분양가테이블(부가세기입X)'!$A$6:$AF$358,3,FALSE))</f>
        <v/>
      </c>
      <c r="Z14" s="177"/>
      <c r="AA14" s="177" t="str">
        <f>IF($C14="","",VLOOKUP($C14,'분양가테이블(부가세기입X)'!$A$6:$AF$358,23,FALSE))</f>
        <v/>
      </c>
      <c r="AB14" s="177"/>
      <c r="AC14" s="177" t="str">
        <f>IF($C14="","",VLOOKUP($C14,'분양가테이블(부가세기입X)'!$A$6:$AF$358,3,FALSE))</f>
        <v/>
      </c>
      <c r="AD14" s="177"/>
      <c r="AE14" s="177" t="str">
        <f>IF($C14="","",VLOOKUP($C14,'분양가테이블(부가세기입X)'!$A$6:$AF$358,24,FALSE))</f>
        <v/>
      </c>
      <c r="AF14" s="177"/>
      <c r="AG14" s="177" t="str">
        <f>IF($C14="","",VLOOKUP($C14,'분양가테이블(부가세기입X)'!$A$6:$AF$358,3,FALSE))</f>
        <v/>
      </c>
      <c r="AH14" s="177"/>
      <c r="AI14" s="177" t="str">
        <f>IF($C14="","",VLOOKUP($C14,'분양가테이블(부가세기입X)'!$A$6:$AF$358,25,FALSE))</f>
        <v/>
      </c>
      <c r="AJ14" s="177"/>
      <c r="AK14" s="177" t="str">
        <f>IF($C14="","",VLOOKUP($C14,'분양가테이블(부가세기입X)'!$A$6:$AF$358,3,FALSE))</f>
        <v/>
      </c>
      <c r="AL14" s="177"/>
      <c r="AM14" s="178"/>
      <c r="AN14" s="178"/>
      <c r="AO14" s="178"/>
      <c r="AP14" s="178"/>
      <c r="AQ14" s="177" t="str">
        <f t="shared" si="0"/>
        <v/>
      </c>
      <c r="AR14" s="177"/>
      <c r="AS14" s="177" t="str">
        <f>IF($C14="","",VLOOKUP($C14,'분양가테이블(부가세기입X)'!$A$6:$AF$358,3,FALSE))</f>
        <v/>
      </c>
      <c r="AT14" s="177"/>
      <c r="AU14" s="179"/>
      <c r="AV14" s="179"/>
      <c r="AW14" s="179"/>
      <c r="AX14" s="179"/>
      <c r="AY14" s="2"/>
      <c r="AZ14" s="10"/>
      <c r="BA14" s="2"/>
      <c r="BB14" s="1"/>
    </row>
    <row r="15" spans="1:54" ht="39.950000000000003" customHeight="1">
      <c r="A15" s="10"/>
      <c r="B15" s="2"/>
      <c r="C15" s="180"/>
      <c r="D15" s="181"/>
      <c r="E15" s="182" t="str">
        <f>IF($C15="","",VLOOKUP($C15,'분양가테이블(부가세기입X)'!$A$6:$AF$358,2,FALSE))</f>
        <v/>
      </c>
      <c r="F15" s="183"/>
      <c r="G15" s="183"/>
      <c r="H15" s="184"/>
      <c r="I15" s="219" t="str">
        <f>IF($C15="","",VLOOKUP($C15,'분양가테이블(부가세기입X)'!$A$6:$AF$358,3,FALSE))</f>
        <v/>
      </c>
      <c r="J15" s="220"/>
      <c r="K15" s="188" t="str">
        <f>IF($C15="","",VLOOKUP($C15,'분양가테이블(부가세기입X)'!$A$6:$AF$358,4,FALSE))</f>
        <v/>
      </c>
      <c r="L15" s="188"/>
      <c r="M15" s="188" t="str">
        <f>IF($C15="","",VLOOKUP($C15,'분양가테이블(부가세기입X)'!$A$6:$AF$358,5,FALSE))</f>
        <v/>
      </c>
      <c r="N15" s="188"/>
      <c r="O15" s="188" t="str">
        <f>IF($C15="","",VLOOKUP($C15,'분양가테이블(부가세기입X)'!$A$6:$AF$358,12,FALSE))</f>
        <v/>
      </c>
      <c r="P15" s="188"/>
      <c r="Q15" s="188" t="str">
        <f>IF($C15="","",VLOOKUP($C15,'분양가테이블(부가세기입X)'!$A$6:$AF$358,13,FALSE))</f>
        <v/>
      </c>
      <c r="R15" s="188"/>
      <c r="S15" s="188" t="str">
        <f>IF($C15="","",VLOOKUP($C15,'분양가테이블(부가세기입X)'!$A$6:$AF$358,6,FALSE))</f>
        <v/>
      </c>
      <c r="T15" s="188"/>
      <c r="U15" s="188" t="str">
        <f>IF($C15="","",VLOOKUP($C15,'분양가테이블(부가세기입X)'!$A$6:$AF$358,7,FALSE))</f>
        <v/>
      </c>
      <c r="V15" s="188"/>
      <c r="W15" s="177" t="str">
        <f>IF($C15="","",VLOOKUP($C15,'분양가테이블(부가세기입X)'!$A$6:$AF$358,22,FALSE))</f>
        <v/>
      </c>
      <c r="X15" s="177"/>
      <c r="Y15" s="177" t="str">
        <f>IF($C15="","",VLOOKUP($C15,'분양가테이블(부가세기입X)'!$A$6:$AF$358,3,FALSE))</f>
        <v/>
      </c>
      <c r="Z15" s="177"/>
      <c r="AA15" s="177" t="str">
        <f>IF($C15="","",VLOOKUP($C15,'분양가테이블(부가세기입X)'!$A$6:$AF$358,23,FALSE))</f>
        <v/>
      </c>
      <c r="AB15" s="177"/>
      <c r="AC15" s="177" t="str">
        <f>IF($C15="","",VLOOKUP($C15,'분양가테이블(부가세기입X)'!$A$6:$AF$358,3,FALSE))</f>
        <v/>
      </c>
      <c r="AD15" s="177"/>
      <c r="AE15" s="177" t="str">
        <f>IF($C15="","",VLOOKUP($C15,'분양가테이블(부가세기입X)'!$A$6:$AF$358,24,FALSE))</f>
        <v/>
      </c>
      <c r="AF15" s="177"/>
      <c r="AG15" s="177" t="str">
        <f>IF($C15="","",VLOOKUP($C15,'분양가테이블(부가세기입X)'!$A$6:$AF$358,3,FALSE))</f>
        <v/>
      </c>
      <c r="AH15" s="177"/>
      <c r="AI15" s="177" t="str">
        <f>IF($C15="","",VLOOKUP($C15,'분양가테이블(부가세기입X)'!$A$6:$AF$358,25,FALSE))</f>
        <v/>
      </c>
      <c r="AJ15" s="177"/>
      <c r="AK15" s="177" t="str">
        <f>IF($C15="","",VLOOKUP($C15,'분양가테이블(부가세기입X)'!$A$6:$AF$358,3,FALSE))</f>
        <v/>
      </c>
      <c r="AL15" s="177"/>
      <c r="AM15" s="221"/>
      <c r="AN15" s="221"/>
      <c r="AO15" s="221"/>
      <c r="AP15" s="221"/>
      <c r="AQ15" s="177" t="str">
        <f t="shared" si="0"/>
        <v/>
      </c>
      <c r="AR15" s="177"/>
      <c r="AS15" s="177" t="str">
        <f>IF($C15="","",VLOOKUP($C15,'분양가테이블(부가세기입X)'!$A$6:$AF$358,3,FALSE))</f>
        <v/>
      </c>
      <c r="AT15" s="177"/>
      <c r="AU15" s="222"/>
      <c r="AV15" s="222"/>
      <c r="AW15" s="222"/>
      <c r="AX15" s="222"/>
      <c r="AY15" s="2"/>
      <c r="AZ15" s="10"/>
      <c r="BA15" s="2"/>
      <c r="BB15" s="1"/>
    </row>
    <row r="16" spans="1:54" ht="39.950000000000003" customHeight="1">
      <c r="A16" s="10"/>
      <c r="B16" s="2"/>
      <c r="C16" s="180"/>
      <c r="D16" s="181"/>
      <c r="E16" s="182" t="str">
        <f>IF($C16="","",VLOOKUP($C16,'분양가테이블(부가세기입X)'!$A$6:$AF$358,2,FALSE))</f>
        <v/>
      </c>
      <c r="F16" s="183"/>
      <c r="G16" s="183"/>
      <c r="H16" s="184"/>
      <c r="I16" s="219" t="str">
        <f>IF($C16="","",VLOOKUP($C16,'분양가테이블(부가세기입X)'!$A$6:$AF$358,3,FALSE))</f>
        <v/>
      </c>
      <c r="J16" s="220"/>
      <c r="K16" s="188" t="str">
        <f>IF($C16="","",VLOOKUP($C16,'분양가테이블(부가세기입X)'!$A$6:$AF$358,4,FALSE))</f>
        <v/>
      </c>
      <c r="L16" s="188"/>
      <c r="M16" s="188" t="str">
        <f>IF($C16="","",VLOOKUP($C16,'분양가테이블(부가세기입X)'!$A$6:$AF$358,5,FALSE))</f>
        <v/>
      </c>
      <c r="N16" s="188"/>
      <c r="O16" s="188" t="str">
        <f>IF($C16="","",VLOOKUP($C16,'분양가테이블(부가세기입X)'!$A$6:$AF$358,12,FALSE))</f>
        <v/>
      </c>
      <c r="P16" s="188"/>
      <c r="Q16" s="188" t="str">
        <f>IF($C16="","",VLOOKUP($C16,'분양가테이블(부가세기입X)'!$A$6:$AF$358,13,FALSE))</f>
        <v/>
      </c>
      <c r="R16" s="188"/>
      <c r="S16" s="188" t="str">
        <f>IF($C16="","",VLOOKUP($C16,'분양가테이블(부가세기입X)'!$A$6:$AF$358,6,FALSE))</f>
        <v/>
      </c>
      <c r="T16" s="188"/>
      <c r="U16" s="188" t="str">
        <f>IF($C16="","",VLOOKUP($C16,'분양가테이블(부가세기입X)'!$A$6:$AF$358,7,FALSE))</f>
        <v/>
      </c>
      <c r="V16" s="188"/>
      <c r="W16" s="177" t="str">
        <f>IF($C16="","",VLOOKUP($C16,'분양가테이블(부가세기입X)'!$A$6:$AF$358,22,FALSE))</f>
        <v/>
      </c>
      <c r="X16" s="177"/>
      <c r="Y16" s="177" t="str">
        <f>IF($C16="","",VLOOKUP($C16,'분양가테이블(부가세기입X)'!$A$6:$AF$358,3,FALSE))</f>
        <v/>
      </c>
      <c r="Z16" s="177"/>
      <c r="AA16" s="177" t="str">
        <f>IF($C16="","",VLOOKUP($C16,'분양가테이블(부가세기입X)'!$A$6:$AF$358,23,FALSE))</f>
        <v/>
      </c>
      <c r="AB16" s="177"/>
      <c r="AC16" s="177" t="str">
        <f>IF($C16="","",VLOOKUP($C16,'분양가테이블(부가세기입X)'!$A$6:$AF$358,3,FALSE))</f>
        <v/>
      </c>
      <c r="AD16" s="177"/>
      <c r="AE16" s="177" t="str">
        <f>IF($C16="","",VLOOKUP($C16,'분양가테이블(부가세기입X)'!$A$6:$AF$358,24,FALSE))</f>
        <v/>
      </c>
      <c r="AF16" s="177"/>
      <c r="AG16" s="177" t="str">
        <f>IF($C16="","",VLOOKUP($C16,'분양가테이블(부가세기입X)'!$A$6:$AF$358,3,FALSE))</f>
        <v/>
      </c>
      <c r="AH16" s="177"/>
      <c r="AI16" s="177" t="str">
        <f>IF($C16="","",VLOOKUP($C16,'분양가테이블(부가세기입X)'!$A$6:$AF$358,25,FALSE))</f>
        <v/>
      </c>
      <c r="AJ16" s="177"/>
      <c r="AK16" s="177" t="str">
        <f>IF($C16="","",VLOOKUP($C16,'분양가테이블(부가세기입X)'!$A$6:$AF$358,3,FALSE))</f>
        <v/>
      </c>
      <c r="AL16" s="177"/>
      <c r="AM16" s="221"/>
      <c r="AN16" s="221"/>
      <c r="AO16" s="221"/>
      <c r="AP16" s="221"/>
      <c r="AQ16" s="177" t="str">
        <f t="shared" si="0"/>
        <v/>
      </c>
      <c r="AR16" s="177"/>
      <c r="AS16" s="177" t="str">
        <f>IF($C16="","",VLOOKUP($C16,'분양가테이블(부가세기입X)'!$A$6:$AF$358,3,FALSE))</f>
        <v/>
      </c>
      <c r="AT16" s="177"/>
      <c r="AU16" s="222"/>
      <c r="AV16" s="222"/>
      <c r="AW16" s="222"/>
      <c r="AX16" s="222"/>
      <c r="AY16" s="2"/>
      <c r="AZ16" s="10"/>
      <c r="BA16" s="2"/>
      <c r="BB16" s="1"/>
    </row>
    <row r="17" spans="1:54" ht="39.950000000000003" customHeight="1">
      <c r="A17" s="10"/>
      <c r="B17" s="2"/>
      <c r="C17" s="180"/>
      <c r="D17" s="181"/>
      <c r="E17" s="182" t="str">
        <f>IF($C17="","",VLOOKUP($C17,'분양가테이블(부가세기입X)'!$A$6:$AF$358,2,FALSE))</f>
        <v/>
      </c>
      <c r="F17" s="183"/>
      <c r="G17" s="183"/>
      <c r="H17" s="184"/>
      <c r="I17" s="185" t="str">
        <f>IF($C17="","",VLOOKUP($C17,'분양가테이블(부가세기입X)'!$A$6:$AF$358,3,FALSE))</f>
        <v/>
      </c>
      <c r="J17" s="186"/>
      <c r="K17" s="187" t="str">
        <f>IF($C17="","",VLOOKUP($C17,'분양가테이블(부가세기입X)'!$A$6:$AF$358,4,FALSE))</f>
        <v/>
      </c>
      <c r="L17" s="187"/>
      <c r="M17" s="187" t="str">
        <f>IF($C17="","",VLOOKUP($C17,'분양가테이블(부가세기입X)'!$A$6:$AF$358,5,FALSE))</f>
        <v/>
      </c>
      <c r="N17" s="187"/>
      <c r="O17" s="188" t="str">
        <f>IF($C17="","",VLOOKUP($C17,'분양가테이블(부가세기입X)'!$A$6:$AF$358,12,FALSE))</f>
        <v/>
      </c>
      <c r="P17" s="188"/>
      <c r="Q17" s="188" t="str">
        <f>IF($C17="","",VLOOKUP($C17,'분양가테이블(부가세기입X)'!$A$6:$AF$358,13,FALSE))</f>
        <v/>
      </c>
      <c r="R17" s="188"/>
      <c r="S17" s="188" t="str">
        <f>IF($C17="","",VLOOKUP($C17,'분양가테이블(부가세기입X)'!$A$6:$AF$358,6,FALSE))</f>
        <v/>
      </c>
      <c r="T17" s="188"/>
      <c r="U17" s="188" t="str">
        <f>IF($C17="","",VLOOKUP($C17,'분양가테이블(부가세기입X)'!$A$6:$AF$358,7,FALSE))</f>
        <v/>
      </c>
      <c r="V17" s="188"/>
      <c r="W17" s="177" t="str">
        <f>IF($C17="","",VLOOKUP($C17,'분양가테이블(부가세기입X)'!$A$6:$AF$358,22,FALSE))</f>
        <v/>
      </c>
      <c r="X17" s="177"/>
      <c r="Y17" s="177" t="str">
        <f>IF($C17="","",VLOOKUP($C17,'분양가테이블(부가세기입X)'!$A$6:$AF$358,3,FALSE))</f>
        <v/>
      </c>
      <c r="Z17" s="177"/>
      <c r="AA17" s="177" t="str">
        <f>IF($C17="","",VLOOKUP($C17,'분양가테이블(부가세기입X)'!$A$6:$AF$358,23,FALSE))</f>
        <v/>
      </c>
      <c r="AB17" s="177"/>
      <c r="AC17" s="177" t="str">
        <f>IF($C17="","",VLOOKUP($C17,'분양가테이블(부가세기입X)'!$A$6:$AF$358,3,FALSE))</f>
        <v/>
      </c>
      <c r="AD17" s="177"/>
      <c r="AE17" s="177" t="str">
        <f>IF($C17="","",VLOOKUP($C17,'분양가테이블(부가세기입X)'!$A$6:$AF$358,24,FALSE))</f>
        <v/>
      </c>
      <c r="AF17" s="177"/>
      <c r="AG17" s="177" t="str">
        <f>IF($C17="","",VLOOKUP($C17,'분양가테이블(부가세기입X)'!$A$6:$AF$358,3,FALSE))</f>
        <v/>
      </c>
      <c r="AH17" s="177"/>
      <c r="AI17" s="177" t="str">
        <f>IF($C17="","",VLOOKUP($C17,'분양가테이블(부가세기입X)'!$A$6:$AF$358,25,FALSE))</f>
        <v/>
      </c>
      <c r="AJ17" s="177"/>
      <c r="AK17" s="177" t="str">
        <f>IF($C17="","",VLOOKUP($C17,'분양가테이블(부가세기입X)'!$A$6:$AF$358,3,FALSE))</f>
        <v/>
      </c>
      <c r="AL17" s="177"/>
      <c r="AM17" s="178"/>
      <c r="AN17" s="178"/>
      <c r="AO17" s="178"/>
      <c r="AP17" s="178"/>
      <c r="AQ17" s="177" t="str">
        <f t="shared" si="0"/>
        <v/>
      </c>
      <c r="AR17" s="177"/>
      <c r="AS17" s="177" t="str">
        <f>IF($C17="","",VLOOKUP($C17,'분양가테이블(부가세기입X)'!$A$6:$AF$358,3,FALSE))</f>
        <v/>
      </c>
      <c r="AT17" s="177"/>
      <c r="AU17" s="179"/>
      <c r="AV17" s="179"/>
      <c r="AW17" s="179"/>
      <c r="AX17" s="179"/>
      <c r="AY17" s="2"/>
      <c r="AZ17" s="10"/>
      <c r="BA17" s="2"/>
      <c r="BB17" s="1"/>
    </row>
    <row r="18" spans="1:54" ht="39.950000000000003" customHeight="1">
      <c r="A18" s="10"/>
      <c r="B18" s="2"/>
      <c r="C18" s="180"/>
      <c r="D18" s="181"/>
      <c r="E18" s="182" t="str">
        <f>IF($C18="","",VLOOKUP($C18,'분양가테이블(부가세기입X)'!$A$6:$AF$358,2,FALSE))</f>
        <v/>
      </c>
      <c r="F18" s="183"/>
      <c r="G18" s="183"/>
      <c r="H18" s="184"/>
      <c r="I18" s="219" t="str">
        <f>IF($C18="","",VLOOKUP($C18,'분양가테이블(부가세기입X)'!$A$6:$AF$358,3,FALSE))</f>
        <v/>
      </c>
      <c r="J18" s="220"/>
      <c r="K18" s="188" t="str">
        <f>IF($C18="","",VLOOKUP($C18,'분양가테이블(부가세기입X)'!$A$6:$AF$358,4,FALSE))</f>
        <v/>
      </c>
      <c r="L18" s="188"/>
      <c r="M18" s="188" t="str">
        <f>IF($C18="","",VLOOKUP($C18,'분양가테이블(부가세기입X)'!$A$6:$AF$358,5,FALSE))</f>
        <v/>
      </c>
      <c r="N18" s="188"/>
      <c r="O18" s="188" t="str">
        <f>IF($C18="","",VLOOKUP($C18,'분양가테이블(부가세기입X)'!$A$6:$AF$358,12,FALSE))</f>
        <v/>
      </c>
      <c r="P18" s="188"/>
      <c r="Q18" s="188" t="str">
        <f>IF($C18="","",VLOOKUP($C18,'분양가테이블(부가세기입X)'!$A$6:$AF$358,13,FALSE))</f>
        <v/>
      </c>
      <c r="R18" s="188"/>
      <c r="S18" s="188" t="str">
        <f>IF($C18="","",VLOOKUP($C18,'분양가테이블(부가세기입X)'!$A$6:$AF$358,6,FALSE))</f>
        <v/>
      </c>
      <c r="T18" s="188"/>
      <c r="U18" s="188" t="str">
        <f>IF($C18="","",VLOOKUP($C18,'분양가테이블(부가세기입X)'!$A$6:$AF$358,7,FALSE))</f>
        <v/>
      </c>
      <c r="V18" s="188"/>
      <c r="W18" s="177" t="str">
        <f>IF($C18="","",VLOOKUP($C18,'분양가테이블(부가세기입X)'!$A$6:$AF$358,22,FALSE))</f>
        <v/>
      </c>
      <c r="X18" s="177"/>
      <c r="Y18" s="177" t="str">
        <f>IF($C18="","",VLOOKUP($C18,'분양가테이블(부가세기입X)'!$A$6:$AF$358,3,FALSE))</f>
        <v/>
      </c>
      <c r="Z18" s="177"/>
      <c r="AA18" s="177" t="str">
        <f>IF($C18="","",VLOOKUP($C18,'분양가테이블(부가세기입X)'!$A$6:$AF$358,23,FALSE))</f>
        <v/>
      </c>
      <c r="AB18" s="177"/>
      <c r="AC18" s="177" t="str">
        <f>IF($C18="","",VLOOKUP($C18,'분양가테이블(부가세기입X)'!$A$6:$AF$358,3,FALSE))</f>
        <v/>
      </c>
      <c r="AD18" s="177"/>
      <c r="AE18" s="177" t="str">
        <f>IF($C18="","",VLOOKUP($C18,'분양가테이블(부가세기입X)'!$A$6:$AF$358,24,FALSE))</f>
        <v/>
      </c>
      <c r="AF18" s="177"/>
      <c r="AG18" s="177" t="str">
        <f>IF($C18="","",VLOOKUP($C18,'분양가테이블(부가세기입X)'!$A$6:$AF$358,3,FALSE))</f>
        <v/>
      </c>
      <c r="AH18" s="177"/>
      <c r="AI18" s="177" t="str">
        <f>IF($C18="","",VLOOKUP($C18,'분양가테이블(부가세기입X)'!$A$6:$AF$358,25,FALSE))</f>
        <v/>
      </c>
      <c r="AJ18" s="177"/>
      <c r="AK18" s="177" t="str">
        <f>IF($C18="","",VLOOKUP($C18,'분양가테이블(부가세기입X)'!$A$6:$AF$358,3,FALSE))</f>
        <v/>
      </c>
      <c r="AL18" s="177"/>
      <c r="AM18" s="221"/>
      <c r="AN18" s="221"/>
      <c r="AO18" s="221"/>
      <c r="AP18" s="221"/>
      <c r="AQ18" s="177" t="str">
        <f t="shared" si="0"/>
        <v/>
      </c>
      <c r="AR18" s="177"/>
      <c r="AS18" s="177" t="str">
        <f>IF($C18="","",VLOOKUP($C18,'분양가테이블(부가세기입X)'!$A$6:$AF$358,3,FALSE))</f>
        <v/>
      </c>
      <c r="AT18" s="177"/>
      <c r="AU18" s="222"/>
      <c r="AV18" s="222"/>
      <c r="AW18" s="222"/>
      <c r="AX18" s="222"/>
      <c r="AY18" s="2"/>
      <c r="AZ18" s="10"/>
      <c r="BA18" s="2"/>
      <c r="BB18" s="1"/>
    </row>
    <row r="19" spans="1:54" ht="39.950000000000003" customHeight="1">
      <c r="A19" s="10"/>
      <c r="B19" s="2"/>
      <c r="C19" s="180"/>
      <c r="D19" s="181"/>
      <c r="E19" s="182" t="str">
        <f>IF($C19="","",VLOOKUP($C19,'분양가테이블(부가세기입X)'!$A$6:$AF$358,2,FALSE))</f>
        <v/>
      </c>
      <c r="F19" s="183"/>
      <c r="G19" s="183"/>
      <c r="H19" s="184"/>
      <c r="I19" s="219" t="str">
        <f>IF($C19="","",VLOOKUP($C19,'분양가테이블(부가세기입X)'!$A$6:$AF$358,3,FALSE))</f>
        <v/>
      </c>
      <c r="J19" s="220"/>
      <c r="K19" s="188" t="str">
        <f>IF($C19="","",VLOOKUP($C19,'분양가테이블(부가세기입X)'!$A$6:$AF$358,4,FALSE))</f>
        <v/>
      </c>
      <c r="L19" s="188"/>
      <c r="M19" s="188" t="str">
        <f>IF($C19="","",VLOOKUP($C19,'분양가테이블(부가세기입X)'!$A$6:$AF$358,5,FALSE))</f>
        <v/>
      </c>
      <c r="N19" s="188"/>
      <c r="O19" s="188" t="str">
        <f>IF($C19="","",VLOOKUP($C19,'분양가테이블(부가세기입X)'!$A$6:$AF$358,12,FALSE))</f>
        <v/>
      </c>
      <c r="P19" s="188"/>
      <c r="Q19" s="188" t="str">
        <f>IF($C19="","",VLOOKUP($C19,'분양가테이블(부가세기입X)'!$A$6:$AF$358,13,FALSE))</f>
        <v/>
      </c>
      <c r="R19" s="188"/>
      <c r="S19" s="188" t="str">
        <f>IF($C19="","",VLOOKUP($C19,'분양가테이블(부가세기입X)'!$A$6:$AF$358,6,FALSE))</f>
        <v/>
      </c>
      <c r="T19" s="188"/>
      <c r="U19" s="188" t="str">
        <f>IF($C19="","",VLOOKUP($C19,'분양가테이블(부가세기입X)'!$A$6:$AF$358,7,FALSE))</f>
        <v/>
      </c>
      <c r="V19" s="188"/>
      <c r="W19" s="177" t="str">
        <f>IF($C19="","",VLOOKUP($C19,'분양가테이블(부가세기입X)'!$A$6:$AF$358,22,FALSE))</f>
        <v/>
      </c>
      <c r="X19" s="177"/>
      <c r="Y19" s="177" t="str">
        <f>IF($C19="","",VLOOKUP($C19,'분양가테이블(부가세기입X)'!$A$6:$AF$358,3,FALSE))</f>
        <v/>
      </c>
      <c r="Z19" s="177"/>
      <c r="AA19" s="177" t="str">
        <f>IF($C19="","",VLOOKUP($C19,'분양가테이블(부가세기입X)'!$A$6:$AF$358,23,FALSE))</f>
        <v/>
      </c>
      <c r="AB19" s="177"/>
      <c r="AC19" s="177" t="str">
        <f>IF($C19="","",VLOOKUP($C19,'분양가테이블(부가세기입X)'!$A$6:$AF$358,3,FALSE))</f>
        <v/>
      </c>
      <c r="AD19" s="177"/>
      <c r="AE19" s="177" t="str">
        <f>IF($C19="","",VLOOKUP($C19,'분양가테이블(부가세기입X)'!$A$6:$AF$358,24,FALSE))</f>
        <v/>
      </c>
      <c r="AF19" s="177"/>
      <c r="AG19" s="177" t="str">
        <f>IF($C19="","",VLOOKUP($C19,'분양가테이블(부가세기입X)'!$A$6:$AF$358,3,FALSE))</f>
        <v/>
      </c>
      <c r="AH19" s="177"/>
      <c r="AI19" s="177" t="str">
        <f>IF($C19="","",VLOOKUP($C19,'분양가테이블(부가세기입X)'!$A$6:$AF$358,25,FALSE))</f>
        <v/>
      </c>
      <c r="AJ19" s="177"/>
      <c r="AK19" s="177" t="str">
        <f>IF($C19="","",VLOOKUP($C19,'분양가테이블(부가세기입X)'!$A$6:$AF$358,3,FALSE))</f>
        <v/>
      </c>
      <c r="AL19" s="177"/>
      <c r="AM19" s="221"/>
      <c r="AN19" s="221"/>
      <c r="AO19" s="221"/>
      <c r="AP19" s="221"/>
      <c r="AQ19" s="177" t="str">
        <f t="shared" si="0"/>
        <v/>
      </c>
      <c r="AR19" s="177"/>
      <c r="AS19" s="177" t="str">
        <f>IF($C19="","",VLOOKUP($C19,'분양가테이블(부가세기입X)'!$A$6:$AF$358,3,FALSE))</f>
        <v/>
      </c>
      <c r="AT19" s="177"/>
      <c r="AU19" s="222"/>
      <c r="AV19" s="222"/>
      <c r="AW19" s="222"/>
      <c r="AX19" s="222"/>
      <c r="AY19" s="2"/>
      <c r="AZ19" s="10"/>
      <c r="BA19" s="2"/>
      <c r="BB19" s="1"/>
    </row>
    <row r="20" spans="1:54" ht="39.950000000000003" customHeight="1">
      <c r="A20" s="10"/>
      <c r="B20" s="2"/>
      <c r="C20" s="180"/>
      <c r="D20" s="181"/>
      <c r="E20" s="182" t="str">
        <f>IF($C20="","",VLOOKUP($C20,'분양가테이블(부가세기입X)'!$A$6:$AF$358,2,FALSE))</f>
        <v/>
      </c>
      <c r="F20" s="183"/>
      <c r="G20" s="183"/>
      <c r="H20" s="184"/>
      <c r="I20" s="185" t="str">
        <f>IF($C20="","",VLOOKUP($C20,'분양가테이블(부가세기입X)'!$A$6:$AF$358,3,FALSE))</f>
        <v/>
      </c>
      <c r="J20" s="186"/>
      <c r="K20" s="187" t="str">
        <f>IF($C20="","",VLOOKUP($C20,'분양가테이블(부가세기입X)'!$A$6:$AF$358,4,FALSE))</f>
        <v/>
      </c>
      <c r="L20" s="187"/>
      <c r="M20" s="187" t="str">
        <f>IF($C20="","",VLOOKUP($C20,'분양가테이블(부가세기입X)'!$A$6:$AF$358,5,FALSE))</f>
        <v/>
      </c>
      <c r="N20" s="187"/>
      <c r="O20" s="188" t="str">
        <f>IF($C20="","",VLOOKUP($C20,'분양가테이블(부가세기입X)'!$A$6:$AF$358,12,FALSE))</f>
        <v/>
      </c>
      <c r="P20" s="188"/>
      <c r="Q20" s="188" t="str">
        <f>IF($C20="","",VLOOKUP($C20,'분양가테이블(부가세기입X)'!$A$6:$AF$358,13,FALSE))</f>
        <v/>
      </c>
      <c r="R20" s="188"/>
      <c r="S20" s="188" t="str">
        <f>IF($C20="","",VLOOKUP($C20,'분양가테이블(부가세기입X)'!$A$6:$AF$358,6,FALSE))</f>
        <v/>
      </c>
      <c r="T20" s="188"/>
      <c r="U20" s="188" t="str">
        <f>IF($C20="","",VLOOKUP($C20,'분양가테이블(부가세기입X)'!$A$6:$AF$358,7,FALSE))</f>
        <v/>
      </c>
      <c r="V20" s="188"/>
      <c r="W20" s="177" t="str">
        <f>IF($C20="","",VLOOKUP($C20,'분양가테이블(부가세기입X)'!$A$6:$AF$358,22,FALSE))</f>
        <v/>
      </c>
      <c r="X20" s="177"/>
      <c r="Y20" s="177" t="str">
        <f>IF($C20="","",VLOOKUP($C20,'분양가테이블(부가세기입X)'!$A$6:$AF$358,3,FALSE))</f>
        <v/>
      </c>
      <c r="Z20" s="177"/>
      <c r="AA20" s="177" t="str">
        <f>IF($C20="","",VLOOKUP($C20,'분양가테이블(부가세기입X)'!$A$6:$AF$358,23,FALSE))</f>
        <v/>
      </c>
      <c r="AB20" s="177"/>
      <c r="AC20" s="177" t="str">
        <f>IF($C20="","",VLOOKUP($C20,'분양가테이블(부가세기입X)'!$A$6:$AF$358,3,FALSE))</f>
        <v/>
      </c>
      <c r="AD20" s="177"/>
      <c r="AE20" s="177" t="str">
        <f>IF($C20="","",VLOOKUP($C20,'분양가테이블(부가세기입X)'!$A$6:$AF$358,24,FALSE))</f>
        <v/>
      </c>
      <c r="AF20" s="177"/>
      <c r="AG20" s="177" t="str">
        <f>IF($C20="","",VLOOKUP($C20,'분양가테이블(부가세기입X)'!$A$6:$AF$358,3,FALSE))</f>
        <v/>
      </c>
      <c r="AH20" s="177"/>
      <c r="AI20" s="177" t="str">
        <f>IF($C20="","",VLOOKUP($C20,'분양가테이블(부가세기입X)'!$A$6:$AF$358,25,FALSE))</f>
        <v/>
      </c>
      <c r="AJ20" s="177"/>
      <c r="AK20" s="177" t="str">
        <f>IF($C20="","",VLOOKUP($C20,'분양가테이블(부가세기입X)'!$A$6:$AF$358,3,FALSE))</f>
        <v/>
      </c>
      <c r="AL20" s="177"/>
      <c r="AM20" s="178"/>
      <c r="AN20" s="178"/>
      <c r="AO20" s="178"/>
      <c r="AP20" s="178"/>
      <c r="AQ20" s="177" t="str">
        <f t="shared" si="0"/>
        <v/>
      </c>
      <c r="AR20" s="177"/>
      <c r="AS20" s="177" t="str">
        <f>IF($C20="","",VLOOKUP($C20,'분양가테이블(부가세기입X)'!$A$6:$AF$358,3,FALSE))</f>
        <v/>
      </c>
      <c r="AT20" s="177"/>
      <c r="AU20" s="179"/>
      <c r="AV20" s="179"/>
      <c r="AW20" s="179"/>
      <c r="AX20" s="179"/>
      <c r="AY20" s="2"/>
      <c r="AZ20" s="10"/>
      <c r="BA20" s="2"/>
      <c r="BB20" s="1"/>
    </row>
    <row r="21" spans="1:54" ht="39.950000000000003" customHeight="1">
      <c r="A21" s="10"/>
      <c r="B21" s="2"/>
      <c r="C21" s="180"/>
      <c r="D21" s="181"/>
      <c r="E21" s="182" t="str">
        <f>IF($C21="","",VLOOKUP($C21,'분양가테이블(부가세기입X)'!$A$6:$AF$358,2,FALSE))</f>
        <v/>
      </c>
      <c r="F21" s="183"/>
      <c r="G21" s="183"/>
      <c r="H21" s="184"/>
      <c r="I21" s="185" t="str">
        <f>IF($C21="","",VLOOKUP($C21,'분양가테이블(부가세기입X)'!$A$6:$AF$358,3,FALSE))</f>
        <v/>
      </c>
      <c r="J21" s="186"/>
      <c r="K21" s="187" t="str">
        <f>IF($C21="","",VLOOKUP($C21,'분양가테이블(부가세기입X)'!$A$6:$AF$358,4,FALSE))</f>
        <v/>
      </c>
      <c r="L21" s="187"/>
      <c r="M21" s="187" t="str">
        <f>IF($C21="","",VLOOKUP($C21,'분양가테이블(부가세기입X)'!$A$6:$AF$358,5,FALSE))</f>
        <v/>
      </c>
      <c r="N21" s="187"/>
      <c r="O21" s="188" t="str">
        <f>IF($C21="","",VLOOKUP($C21,'분양가테이블(부가세기입X)'!$A$6:$AF$358,12,FALSE))</f>
        <v/>
      </c>
      <c r="P21" s="188"/>
      <c r="Q21" s="188" t="str">
        <f>IF($C21="","",VLOOKUP($C21,'분양가테이블(부가세기입X)'!$A$6:$AF$358,13,FALSE))</f>
        <v/>
      </c>
      <c r="R21" s="188"/>
      <c r="S21" s="188" t="str">
        <f>IF($C21="","",VLOOKUP($C21,'분양가테이블(부가세기입X)'!$A$6:$AF$358,6,FALSE))</f>
        <v/>
      </c>
      <c r="T21" s="188"/>
      <c r="U21" s="188" t="str">
        <f>IF($C21="","",VLOOKUP($C21,'분양가테이블(부가세기입X)'!$A$6:$AF$358,7,FALSE))</f>
        <v/>
      </c>
      <c r="V21" s="188"/>
      <c r="W21" s="177" t="str">
        <f>IF($C21="","",VLOOKUP($C21,'분양가테이블(부가세기입X)'!$A$6:$AF$358,22,FALSE))</f>
        <v/>
      </c>
      <c r="X21" s="177"/>
      <c r="Y21" s="177" t="str">
        <f>IF($C21="","",VLOOKUP($C21,'분양가테이블(부가세기입X)'!$A$6:$AF$358,3,FALSE))</f>
        <v/>
      </c>
      <c r="Z21" s="177"/>
      <c r="AA21" s="177" t="str">
        <f>IF($C21="","",VLOOKUP($C21,'분양가테이블(부가세기입X)'!$A$6:$AF$358,23,FALSE))</f>
        <v/>
      </c>
      <c r="AB21" s="177"/>
      <c r="AC21" s="177" t="str">
        <f>IF($C21="","",VLOOKUP($C21,'분양가테이블(부가세기입X)'!$A$6:$AF$358,3,FALSE))</f>
        <v/>
      </c>
      <c r="AD21" s="177"/>
      <c r="AE21" s="177" t="str">
        <f>IF($C21="","",VLOOKUP($C21,'분양가테이블(부가세기입X)'!$A$6:$AF$358,24,FALSE))</f>
        <v/>
      </c>
      <c r="AF21" s="177"/>
      <c r="AG21" s="177" t="str">
        <f>IF($C21="","",VLOOKUP($C21,'분양가테이블(부가세기입X)'!$A$6:$AF$358,3,FALSE))</f>
        <v/>
      </c>
      <c r="AH21" s="177"/>
      <c r="AI21" s="177" t="str">
        <f>IF($C21="","",VLOOKUP($C21,'분양가테이블(부가세기입X)'!$A$6:$AF$358,25,FALSE))</f>
        <v/>
      </c>
      <c r="AJ21" s="177"/>
      <c r="AK21" s="177" t="str">
        <f>IF($C21="","",VLOOKUP($C21,'분양가테이블(부가세기입X)'!$A$6:$AF$358,3,FALSE))</f>
        <v/>
      </c>
      <c r="AL21" s="177"/>
      <c r="AM21" s="178"/>
      <c r="AN21" s="178"/>
      <c r="AO21" s="178"/>
      <c r="AP21" s="178"/>
      <c r="AQ21" s="177" t="str">
        <f t="shared" si="0"/>
        <v/>
      </c>
      <c r="AR21" s="177"/>
      <c r="AS21" s="177" t="str">
        <f>IF($C21="","",VLOOKUP($C21,'분양가테이블(부가세기입X)'!$A$6:$AF$358,3,FALSE))</f>
        <v/>
      </c>
      <c r="AT21" s="177"/>
      <c r="AU21" s="179"/>
      <c r="AV21" s="179"/>
      <c r="AW21" s="179"/>
      <c r="AX21" s="179"/>
      <c r="AY21" s="2"/>
      <c r="AZ21" s="10"/>
      <c r="BA21" s="2"/>
      <c r="BB21" s="1"/>
    </row>
    <row r="22" spans="1:54" ht="39.950000000000003" customHeight="1">
      <c r="A22" s="10"/>
      <c r="B22" s="2"/>
      <c r="C22" s="180"/>
      <c r="D22" s="181"/>
      <c r="E22" s="182" t="str">
        <f>IF($C22="","",VLOOKUP($C22,'분양가테이블(부가세기입X)'!$A$6:$AF$358,2,FALSE))</f>
        <v/>
      </c>
      <c r="F22" s="183"/>
      <c r="G22" s="183"/>
      <c r="H22" s="184"/>
      <c r="I22" s="185" t="str">
        <f>IF($C22="","",VLOOKUP($C22,'분양가테이블(부가세기입X)'!$A$6:$AF$358,3,FALSE))</f>
        <v/>
      </c>
      <c r="J22" s="186"/>
      <c r="K22" s="187" t="str">
        <f>IF($C22="","",VLOOKUP($C22,'분양가테이블(부가세기입X)'!$A$6:$AF$358,4,FALSE))</f>
        <v/>
      </c>
      <c r="L22" s="187"/>
      <c r="M22" s="187" t="str">
        <f>IF($C22="","",VLOOKUP($C22,'분양가테이블(부가세기입X)'!$A$6:$AF$358,5,FALSE))</f>
        <v/>
      </c>
      <c r="N22" s="187"/>
      <c r="O22" s="188" t="str">
        <f>IF($C22="","",VLOOKUP($C22,'분양가테이블(부가세기입X)'!$A$6:$AF$358,12,FALSE))</f>
        <v/>
      </c>
      <c r="P22" s="188"/>
      <c r="Q22" s="188" t="str">
        <f>IF($C22="","",VLOOKUP($C22,'분양가테이블(부가세기입X)'!$A$6:$AF$358,13,FALSE))</f>
        <v/>
      </c>
      <c r="R22" s="188"/>
      <c r="S22" s="188" t="str">
        <f>IF($C22="","",VLOOKUP($C22,'분양가테이블(부가세기입X)'!$A$6:$AF$358,6,FALSE))</f>
        <v/>
      </c>
      <c r="T22" s="188"/>
      <c r="U22" s="188" t="str">
        <f>IF($C22="","",VLOOKUP($C22,'분양가테이블(부가세기입X)'!$A$6:$AF$358,7,FALSE))</f>
        <v/>
      </c>
      <c r="V22" s="188"/>
      <c r="W22" s="177" t="str">
        <f>IF($C22="","",VLOOKUP($C22,'분양가테이블(부가세기입X)'!$A$6:$AF$358,22,FALSE))</f>
        <v/>
      </c>
      <c r="X22" s="177"/>
      <c r="Y22" s="177" t="str">
        <f>IF($C22="","",VLOOKUP($C22,'분양가테이블(부가세기입X)'!$A$6:$AF$358,3,FALSE))</f>
        <v/>
      </c>
      <c r="Z22" s="177"/>
      <c r="AA22" s="177" t="str">
        <f>IF($C22="","",VLOOKUP($C22,'분양가테이블(부가세기입X)'!$A$6:$AF$358,23,FALSE))</f>
        <v/>
      </c>
      <c r="AB22" s="177"/>
      <c r="AC22" s="177" t="str">
        <f>IF($C22="","",VLOOKUP($C22,'분양가테이블(부가세기입X)'!$A$6:$AF$358,3,FALSE))</f>
        <v/>
      </c>
      <c r="AD22" s="177"/>
      <c r="AE22" s="177" t="str">
        <f>IF($C22="","",VLOOKUP($C22,'분양가테이블(부가세기입X)'!$A$6:$AF$358,24,FALSE))</f>
        <v/>
      </c>
      <c r="AF22" s="177"/>
      <c r="AG22" s="177" t="str">
        <f>IF($C22="","",VLOOKUP($C22,'분양가테이블(부가세기입X)'!$A$6:$AF$358,3,FALSE))</f>
        <v/>
      </c>
      <c r="AH22" s="177"/>
      <c r="AI22" s="177" t="str">
        <f>IF($C22="","",VLOOKUP($C22,'분양가테이블(부가세기입X)'!$A$6:$AF$358,25,FALSE))</f>
        <v/>
      </c>
      <c r="AJ22" s="177"/>
      <c r="AK22" s="177" t="str">
        <f>IF($C22="","",VLOOKUP($C22,'분양가테이블(부가세기입X)'!$A$6:$AF$358,3,FALSE))</f>
        <v/>
      </c>
      <c r="AL22" s="177"/>
      <c r="AM22" s="178"/>
      <c r="AN22" s="178"/>
      <c r="AO22" s="178"/>
      <c r="AP22" s="178"/>
      <c r="AQ22" s="177" t="str">
        <f t="shared" si="0"/>
        <v/>
      </c>
      <c r="AR22" s="177"/>
      <c r="AS22" s="177" t="str">
        <f>IF($C22="","",VLOOKUP($C22,'분양가테이블(부가세기입X)'!$A$6:$AF$358,3,FALSE))</f>
        <v/>
      </c>
      <c r="AT22" s="177"/>
      <c r="AU22" s="179"/>
      <c r="AV22" s="179"/>
      <c r="AW22" s="179"/>
      <c r="AX22" s="179"/>
      <c r="AY22" s="2"/>
      <c r="AZ22" s="10"/>
      <c r="BA22" s="2"/>
      <c r="BB22" s="1"/>
    </row>
    <row r="23" spans="1:54" ht="39.950000000000003" customHeight="1">
      <c r="A23" s="10"/>
      <c r="B23" s="2"/>
      <c r="C23" s="180"/>
      <c r="D23" s="181"/>
      <c r="E23" s="182" t="str">
        <f>IF($C23="","",VLOOKUP($C23,'분양가테이블(부가세기입X)'!$A$6:$AF$358,2,FALSE))</f>
        <v/>
      </c>
      <c r="F23" s="183"/>
      <c r="G23" s="183"/>
      <c r="H23" s="184"/>
      <c r="I23" s="185" t="str">
        <f>IF($C23="","",VLOOKUP($C23,'분양가테이블(부가세기입X)'!$A$6:$AF$358,3,FALSE))</f>
        <v/>
      </c>
      <c r="J23" s="186"/>
      <c r="K23" s="187" t="str">
        <f>IF($C23="","",VLOOKUP($C23,'분양가테이블(부가세기입X)'!$A$6:$AF$358,4,FALSE))</f>
        <v/>
      </c>
      <c r="L23" s="187"/>
      <c r="M23" s="187" t="str">
        <f>IF($C23="","",VLOOKUP($C23,'분양가테이블(부가세기입X)'!$A$6:$AF$358,5,FALSE))</f>
        <v/>
      </c>
      <c r="N23" s="187"/>
      <c r="O23" s="188" t="str">
        <f>IF($C23="","",VLOOKUP($C23,'분양가테이블(부가세기입X)'!$A$6:$AF$358,12,FALSE))</f>
        <v/>
      </c>
      <c r="P23" s="188"/>
      <c r="Q23" s="188" t="str">
        <f>IF($C23="","",VLOOKUP($C23,'분양가테이블(부가세기입X)'!$A$6:$AF$358,13,FALSE))</f>
        <v/>
      </c>
      <c r="R23" s="188"/>
      <c r="S23" s="188" t="str">
        <f>IF($C23="","",VLOOKUP($C23,'분양가테이블(부가세기입X)'!$A$6:$AF$358,6,FALSE))</f>
        <v/>
      </c>
      <c r="T23" s="188"/>
      <c r="U23" s="188" t="str">
        <f>IF($C23="","",VLOOKUP($C23,'분양가테이블(부가세기입X)'!$A$6:$AF$358,7,FALSE))</f>
        <v/>
      </c>
      <c r="V23" s="188"/>
      <c r="W23" s="177" t="str">
        <f>IF($C23="","",VLOOKUP($C23,'분양가테이블(부가세기입X)'!$A$6:$AF$358,22,FALSE))</f>
        <v/>
      </c>
      <c r="X23" s="177"/>
      <c r="Y23" s="177" t="str">
        <f>IF($C23="","",VLOOKUP($C23,'분양가테이블(부가세기입X)'!$A$6:$AF$358,3,FALSE))</f>
        <v/>
      </c>
      <c r="Z23" s="177"/>
      <c r="AA23" s="177" t="str">
        <f>IF($C23="","",VLOOKUP($C23,'분양가테이블(부가세기입X)'!$A$6:$AF$358,23,FALSE))</f>
        <v/>
      </c>
      <c r="AB23" s="177"/>
      <c r="AC23" s="177" t="str">
        <f>IF($C23="","",VLOOKUP($C23,'분양가테이블(부가세기입X)'!$A$6:$AF$358,3,FALSE))</f>
        <v/>
      </c>
      <c r="AD23" s="177"/>
      <c r="AE23" s="177" t="str">
        <f>IF($C23="","",VLOOKUP($C23,'분양가테이블(부가세기입X)'!$A$6:$AF$358,24,FALSE))</f>
        <v/>
      </c>
      <c r="AF23" s="177"/>
      <c r="AG23" s="177" t="str">
        <f>IF($C23="","",VLOOKUP($C23,'분양가테이블(부가세기입X)'!$A$6:$AF$358,3,FALSE))</f>
        <v/>
      </c>
      <c r="AH23" s="177"/>
      <c r="AI23" s="177" t="str">
        <f>IF($C23="","",VLOOKUP($C23,'분양가테이블(부가세기입X)'!$A$6:$AF$358,25,FALSE))</f>
        <v/>
      </c>
      <c r="AJ23" s="177"/>
      <c r="AK23" s="177" t="str">
        <f>IF($C23="","",VLOOKUP($C23,'분양가테이블(부가세기입X)'!$A$6:$AF$358,3,FALSE))</f>
        <v/>
      </c>
      <c r="AL23" s="177"/>
      <c r="AM23" s="178"/>
      <c r="AN23" s="178"/>
      <c r="AO23" s="178"/>
      <c r="AP23" s="178"/>
      <c r="AQ23" s="177" t="str">
        <f t="shared" si="0"/>
        <v/>
      </c>
      <c r="AR23" s="177"/>
      <c r="AS23" s="177" t="str">
        <f>IF($C23="","",VLOOKUP($C23,'분양가테이블(부가세기입X)'!$A$6:$AF$358,3,FALSE))</f>
        <v/>
      </c>
      <c r="AT23" s="177"/>
      <c r="AU23" s="179"/>
      <c r="AV23" s="179"/>
      <c r="AW23" s="179"/>
      <c r="AX23" s="179"/>
      <c r="AY23" s="2"/>
      <c r="AZ23" s="10"/>
      <c r="BA23" s="2"/>
      <c r="BB23" s="1"/>
    </row>
    <row r="24" spans="1:54" ht="39.950000000000003" customHeight="1">
      <c r="A24" s="10"/>
      <c r="B24" s="2"/>
      <c r="C24" s="180"/>
      <c r="D24" s="181"/>
      <c r="E24" s="182" t="str">
        <f>IF($C24="","",VLOOKUP($C24,'분양가테이블(부가세기입X)'!$A$6:$AF$358,2,FALSE))</f>
        <v/>
      </c>
      <c r="F24" s="183"/>
      <c r="G24" s="183"/>
      <c r="H24" s="184"/>
      <c r="I24" s="185" t="str">
        <f>IF($C24="","",VLOOKUP($C24,'분양가테이블(부가세기입X)'!$A$6:$AF$358,3,FALSE))</f>
        <v/>
      </c>
      <c r="J24" s="186"/>
      <c r="K24" s="187" t="str">
        <f>IF($C24="","",VLOOKUP($C24,'분양가테이블(부가세기입X)'!$A$6:$AF$358,4,FALSE))</f>
        <v/>
      </c>
      <c r="L24" s="187"/>
      <c r="M24" s="187" t="str">
        <f>IF($C24="","",VLOOKUP($C24,'분양가테이블(부가세기입X)'!$A$6:$AF$358,5,FALSE))</f>
        <v/>
      </c>
      <c r="N24" s="187"/>
      <c r="O24" s="188" t="str">
        <f>IF($C24="","",VLOOKUP($C24,'분양가테이블(부가세기입X)'!$A$6:$AF$358,12,FALSE))</f>
        <v/>
      </c>
      <c r="P24" s="188"/>
      <c r="Q24" s="188" t="str">
        <f>IF($C24="","",VLOOKUP($C24,'분양가테이블(부가세기입X)'!$A$6:$AF$358,13,FALSE))</f>
        <v/>
      </c>
      <c r="R24" s="188"/>
      <c r="S24" s="188" t="str">
        <f>IF($C24="","",VLOOKUP($C24,'분양가테이블(부가세기입X)'!$A$6:$AF$358,6,FALSE))</f>
        <v/>
      </c>
      <c r="T24" s="188"/>
      <c r="U24" s="188" t="str">
        <f>IF($C24="","",VLOOKUP($C24,'분양가테이블(부가세기입X)'!$A$6:$AF$358,7,FALSE))</f>
        <v/>
      </c>
      <c r="V24" s="188"/>
      <c r="W24" s="177" t="str">
        <f>IF($C24="","",VLOOKUP($C24,'분양가테이블(부가세기입X)'!$A$6:$AF$358,22,FALSE))</f>
        <v/>
      </c>
      <c r="X24" s="177"/>
      <c r="Y24" s="177" t="str">
        <f>IF($C24="","",VLOOKUP($C24,'분양가테이블(부가세기입X)'!$A$6:$AF$358,3,FALSE))</f>
        <v/>
      </c>
      <c r="Z24" s="177"/>
      <c r="AA24" s="177" t="str">
        <f>IF($C24="","",VLOOKUP($C24,'분양가테이블(부가세기입X)'!$A$6:$AF$358,23,FALSE))</f>
        <v/>
      </c>
      <c r="AB24" s="177"/>
      <c r="AC24" s="177" t="str">
        <f>IF($C24="","",VLOOKUP($C24,'분양가테이블(부가세기입X)'!$A$6:$AF$358,3,FALSE))</f>
        <v/>
      </c>
      <c r="AD24" s="177"/>
      <c r="AE24" s="177" t="str">
        <f>IF($C24="","",VLOOKUP($C24,'분양가테이블(부가세기입X)'!$A$6:$AF$358,24,FALSE))</f>
        <v/>
      </c>
      <c r="AF24" s="177"/>
      <c r="AG24" s="177" t="str">
        <f>IF($C24="","",VLOOKUP($C24,'분양가테이블(부가세기입X)'!$A$6:$AF$358,3,FALSE))</f>
        <v/>
      </c>
      <c r="AH24" s="177"/>
      <c r="AI24" s="177" t="str">
        <f>IF($C24="","",VLOOKUP($C24,'분양가테이블(부가세기입X)'!$A$6:$AF$358,25,FALSE))</f>
        <v/>
      </c>
      <c r="AJ24" s="177"/>
      <c r="AK24" s="177" t="str">
        <f>IF($C24="","",VLOOKUP($C24,'분양가테이블(부가세기입X)'!$A$6:$AF$358,3,FALSE))</f>
        <v/>
      </c>
      <c r="AL24" s="177"/>
      <c r="AM24" s="178"/>
      <c r="AN24" s="178"/>
      <c r="AO24" s="178"/>
      <c r="AP24" s="178"/>
      <c r="AQ24" s="177" t="str">
        <f t="shared" si="0"/>
        <v/>
      </c>
      <c r="AR24" s="177"/>
      <c r="AS24" s="177" t="str">
        <f>IF($C24="","",VLOOKUP($C24,'분양가테이블(부가세기입X)'!$A$6:$AF$358,3,FALSE))</f>
        <v/>
      </c>
      <c r="AT24" s="177"/>
      <c r="AU24" s="179"/>
      <c r="AV24" s="179"/>
      <c r="AW24" s="179"/>
      <c r="AX24" s="179"/>
      <c r="AY24" s="2"/>
      <c r="AZ24" s="10"/>
      <c r="BA24" s="2"/>
      <c r="BB24" s="1"/>
    </row>
    <row r="25" spans="1:54" ht="39.950000000000003" customHeight="1">
      <c r="A25" s="10"/>
      <c r="B25" s="2"/>
      <c r="C25" s="180"/>
      <c r="D25" s="181"/>
      <c r="E25" s="182" t="str">
        <f>IF($C25="","",VLOOKUP($C25,'분양가테이블(부가세기입X)'!$A$6:$AF$358,2,FALSE))</f>
        <v/>
      </c>
      <c r="F25" s="183"/>
      <c r="G25" s="183"/>
      <c r="H25" s="184"/>
      <c r="I25" s="185" t="str">
        <f>IF($C25="","",VLOOKUP($C25,'분양가테이블(부가세기입X)'!$A$6:$AF$358,3,FALSE))</f>
        <v/>
      </c>
      <c r="J25" s="186"/>
      <c r="K25" s="187" t="str">
        <f>IF($C25="","",VLOOKUP($C25,'분양가테이블(부가세기입X)'!$A$6:$AF$358,4,FALSE))</f>
        <v/>
      </c>
      <c r="L25" s="187"/>
      <c r="M25" s="187" t="str">
        <f>IF($C25="","",VLOOKUP($C25,'분양가테이블(부가세기입X)'!$A$6:$AF$358,5,FALSE))</f>
        <v/>
      </c>
      <c r="N25" s="187"/>
      <c r="O25" s="188" t="str">
        <f>IF($C25="","",VLOOKUP($C25,'분양가테이블(부가세기입X)'!$A$6:$AF$358,12,FALSE))</f>
        <v/>
      </c>
      <c r="P25" s="188"/>
      <c r="Q25" s="188" t="str">
        <f>IF($C25="","",VLOOKUP($C25,'분양가테이블(부가세기입X)'!$A$6:$AF$358,13,FALSE))</f>
        <v/>
      </c>
      <c r="R25" s="188"/>
      <c r="S25" s="188" t="str">
        <f>IF($C25="","",VLOOKUP($C25,'분양가테이블(부가세기입X)'!$A$6:$AF$358,6,FALSE))</f>
        <v/>
      </c>
      <c r="T25" s="188"/>
      <c r="U25" s="188" t="str">
        <f>IF($C25="","",VLOOKUP($C25,'분양가테이블(부가세기입X)'!$A$6:$AF$358,7,FALSE))</f>
        <v/>
      </c>
      <c r="V25" s="188"/>
      <c r="W25" s="177" t="str">
        <f>IF($C25="","",VLOOKUP($C25,'분양가테이블(부가세기입X)'!$A$6:$AF$358,22,FALSE))</f>
        <v/>
      </c>
      <c r="X25" s="177"/>
      <c r="Y25" s="177" t="str">
        <f>IF($C25="","",VLOOKUP($C25,'분양가테이블(부가세기입X)'!$A$6:$AF$358,3,FALSE))</f>
        <v/>
      </c>
      <c r="Z25" s="177"/>
      <c r="AA25" s="177" t="str">
        <f>IF($C25="","",VLOOKUP($C25,'분양가테이블(부가세기입X)'!$A$6:$AF$358,23,FALSE))</f>
        <v/>
      </c>
      <c r="AB25" s="177"/>
      <c r="AC25" s="177" t="str">
        <f>IF($C25="","",VLOOKUP($C25,'분양가테이블(부가세기입X)'!$A$6:$AF$358,3,FALSE))</f>
        <v/>
      </c>
      <c r="AD25" s="177"/>
      <c r="AE25" s="177" t="str">
        <f>IF($C25="","",VLOOKUP($C25,'분양가테이블(부가세기입X)'!$A$6:$AF$358,24,FALSE))</f>
        <v/>
      </c>
      <c r="AF25" s="177"/>
      <c r="AG25" s="177" t="str">
        <f>IF($C25="","",VLOOKUP($C25,'분양가테이블(부가세기입X)'!$A$6:$AF$358,3,FALSE))</f>
        <v/>
      </c>
      <c r="AH25" s="177"/>
      <c r="AI25" s="177" t="str">
        <f>IF($C25="","",VLOOKUP($C25,'분양가테이블(부가세기입X)'!$A$6:$AF$358,25,FALSE))</f>
        <v/>
      </c>
      <c r="AJ25" s="177"/>
      <c r="AK25" s="177" t="str">
        <f>IF($C25="","",VLOOKUP($C25,'분양가테이블(부가세기입X)'!$A$6:$AF$358,3,FALSE))</f>
        <v/>
      </c>
      <c r="AL25" s="177"/>
      <c r="AM25" s="178"/>
      <c r="AN25" s="178"/>
      <c r="AO25" s="178"/>
      <c r="AP25" s="178"/>
      <c r="AQ25" s="177" t="str">
        <f t="shared" si="0"/>
        <v/>
      </c>
      <c r="AR25" s="177"/>
      <c r="AS25" s="177" t="str">
        <f>IF($C25="","",VLOOKUP($C25,'분양가테이블(부가세기입X)'!$A$6:$AF$358,3,FALSE))</f>
        <v/>
      </c>
      <c r="AT25" s="177"/>
      <c r="AU25" s="179"/>
      <c r="AV25" s="179"/>
      <c r="AW25" s="179"/>
      <c r="AX25" s="179"/>
      <c r="AY25" s="2"/>
      <c r="AZ25" s="10"/>
      <c r="BA25" s="2"/>
      <c r="BB25" s="1"/>
    </row>
    <row r="26" spans="1:54" ht="39.950000000000003" customHeight="1">
      <c r="A26" s="10"/>
      <c r="B26" s="2"/>
      <c r="C26" s="180"/>
      <c r="D26" s="181"/>
      <c r="E26" s="182" t="str">
        <f>IF($C26="","",VLOOKUP($C26,'분양가테이블(부가세기입X)'!$A$6:$AF$358,2,FALSE))</f>
        <v/>
      </c>
      <c r="F26" s="183"/>
      <c r="G26" s="183"/>
      <c r="H26" s="184"/>
      <c r="I26" s="185" t="str">
        <f>IF($C26="","",VLOOKUP($C26,'분양가테이블(부가세기입X)'!$A$6:$AF$358,3,FALSE))</f>
        <v/>
      </c>
      <c r="J26" s="186"/>
      <c r="K26" s="187" t="str">
        <f>IF($C26="","",VLOOKUP($C26,'분양가테이블(부가세기입X)'!$A$6:$AF$358,4,FALSE))</f>
        <v/>
      </c>
      <c r="L26" s="187"/>
      <c r="M26" s="187" t="str">
        <f>IF($C26="","",VLOOKUP($C26,'분양가테이블(부가세기입X)'!$A$6:$AF$358,5,FALSE))</f>
        <v/>
      </c>
      <c r="N26" s="187"/>
      <c r="O26" s="188" t="str">
        <f>IF($C26="","",VLOOKUP($C26,'분양가테이블(부가세기입X)'!$A$6:$AF$358,12,FALSE))</f>
        <v/>
      </c>
      <c r="P26" s="188"/>
      <c r="Q26" s="188" t="str">
        <f>IF($C26="","",VLOOKUP($C26,'분양가테이블(부가세기입X)'!$A$6:$AF$358,13,FALSE))</f>
        <v/>
      </c>
      <c r="R26" s="188"/>
      <c r="S26" s="188" t="str">
        <f>IF($C26="","",VLOOKUP($C26,'분양가테이블(부가세기입X)'!$A$6:$AF$358,6,FALSE))</f>
        <v/>
      </c>
      <c r="T26" s="188"/>
      <c r="U26" s="188" t="str">
        <f>IF($C26="","",VLOOKUP($C26,'분양가테이블(부가세기입X)'!$A$6:$AF$358,7,FALSE))</f>
        <v/>
      </c>
      <c r="V26" s="188"/>
      <c r="W26" s="177" t="str">
        <f>IF($C26="","",VLOOKUP($C26,'분양가테이블(부가세기입X)'!$A$6:$AF$358,22,FALSE))</f>
        <v/>
      </c>
      <c r="X26" s="177"/>
      <c r="Y26" s="177" t="str">
        <f>IF($C26="","",VLOOKUP($C26,'분양가테이블(부가세기입X)'!$A$6:$AF$358,3,FALSE))</f>
        <v/>
      </c>
      <c r="Z26" s="177"/>
      <c r="AA26" s="177" t="str">
        <f>IF($C26="","",VLOOKUP($C26,'분양가테이블(부가세기입X)'!$A$6:$AF$358,23,FALSE))</f>
        <v/>
      </c>
      <c r="AB26" s="177"/>
      <c r="AC26" s="177" t="str">
        <f>IF($C26="","",VLOOKUP($C26,'분양가테이블(부가세기입X)'!$A$6:$AF$358,3,FALSE))</f>
        <v/>
      </c>
      <c r="AD26" s="177"/>
      <c r="AE26" s="177" t="str">
        <f>IF($C26="","",VLOOKUP($C26,'분양가테이블(부가세기입X)'!$A$6:$AF$358,24,FALSE))</f>
        <v/>
      </c>
      <c r="AF26" s="177"/>
      <c r="AG26" s="177" t="str">
        <f>IF($C26="","",VLOOKUP($C26,'분양가테이블(부가세기입X)'!$A$6:$AF$358,3,FALSE))</f>
        <v/>
      </c>
      <c r="AH26" s="177"/>
      <c r="AI26" s="177" t="str">
        <f>IF($C26="","",VLOOKUP($C26,'분양가테이블(부가세기입X)'!$A$6:$AF$358,25,FALSE))</f>
        <v/>
      </c>
      <c r="AJ26" s="177"/>
      <c r="AK26" s="177" t="str">
        <f>IF($C26="","",VLOOKUP($C26,'분양가테이블(부가세기입X)'!$A$6:$AF$358,3,FALSE))</f>
        <v/>
      </c>
      <c r="AL26" s="177"/>
      <c r="AM26" s="178"/>
      <c r="AN26" s="178"/>
      <c r="AO26" s="178"/>
      <c r="AP26" s="178"/>
      <c r="AQ26" s="177" t="str">
        <f t="shared" si="0"/>
        <v/>
      </c>
      <c r="AR26" s="177"/>
      <c r="AS26" s="177" t="str">
        <f>IF($C26="","",VLOOKUP($C26,'분양가테이블(부가세기입X)'!$A$6:$AF$358,3,FALSE))</f>
        <v/>
      </c>
      <c r="AT26" s="177"/>
      <c r="AU26" s="179"/>
      <c r="AV26" s="179"/>
      <c r="AW26" s="179"/>
      <c r="AX26" s="179"/>
      <c r="AY26" s="2"/>
      <c r="AZ26" s="10"/>
      <c r="BA26" s="2"/>
      <c r="BB26" s="1"/>
    </row>
    <row r="27" spans="1:54" ht="39.950000000000003" customHeight="1">
      <c r="A27" s="10"/>
      <c r="B27" s="2"/>
      <c r="C27" s="180"/>
      <c r="D27" s="181"/>
      <c r="E27" s="182" t="str">
        <f>IF($C27="","",VLOOKUP($C27,'분양가테이블(부가세기입X)'!$A$6:$AF$358,2,FALSE))</f>
        <v/>
      </c>
      <c r="F27" s="183"/>
      <c r="G27" s="183"/>
      <c r="H27" s="184"/>
      <c r="I27" s="185" t="str">
        <f>IF($C27="","",VLOOKUP($C27,'분양가테이블(부가세기입X)'!$A$6:$AF$358,3,FALSE))</f>
        <v/>
      </c>
      <c r="J27" s="186"/>
      <c r="K27" s="187" t="str">
        <f>IF($C27="","",VLOOKUP($C27,'분양가테이블(부가세기입X)'!$A$6:$AF$358,4,FALSE))</f>
        <v/>
      </c>
      <c r="L27" s="187"/>
      <c r="M27" s="187" t="str">
        <f>IF($C27="","",VLOOKUP($C27,'분양가테이블(부가세기입X)'!$A$6:$AF$358,5,FALSE))</f>
        <v/>
      </c>
      <c r="N27" s="187"/>
      <c r="O27" s="188" t="str">
        <f>IF($C27="","",VLOOKUP($C27,'분양가테이블(부가세기입X)'!$A$6:$AF$358,12,FALSE))</f>
        <v/>
      </c>
      <c r="P27" s="188"/>
      <c r="Q27" s="188" t="str">
        <f>IF($C27="","",VLOOKUP($C27,'분양가테이블(부가세기입X)'!$A$6:$AF$358,13,FALSE))</f>
        <v/>
      </c>
      <c r="R27" s="188"/>
      <c r="S27" s="188" t="str">
        <f>IF($C27="","",VLOOKUP($C27,'분양가테이블(부가세기입X)'!$A$6:$AF$358,6,FALSE))</f>
        <v/>
      </c>
      <c r="T27" s="188"/>
      <c r="U27" s="188" t="str">
        <f>IF($C27="","",VLOOKUP($C27,'분양가테이블(부가세기입X)'!$A$6:$AF$358,7,FALSE))</f>
        <v/>
      </c>
      <c r="V27" s="188"/>
      <c r="W27" s="177" t="str">
        <f>IF($C27="","",VLOOKUP($C27,'분양가테이블(부가세기입X)'!$A$6:$AF$358,22,FALSE))</f>
        <v/>
      </c>
      <c r="X27" s="177"/>
      <c r="Y27" s="177" t="str">
        <f>IF($C27="","",VLOOKUP($C27,'분양가테이블(부가세기입X)'!$A$6:$AF$358,3,FALSE))</f>
        <v/>
      </c>
      <c r="Z27" s="177"/>
      <c r="AA27" s="177" t="str">
        <f>IF($C27="","",VLOOKUP($C27,'분양가테이블(부가세기입X)'!$A$6:$AF$358,23,FALSE))</f>
        <v/>
      </c>
      <c r="AB27" s="177"/>
      <c r="AC27" s="177" t="str">
        <f>IF($C27="","",VLOOKUP($C27,'분양가테이블(부가세기입X)'!$A$6:$AF$358,3,FALSE))</f>
        <v/>
      </c>
      <c r="AD27" s="177"/>
      <c r="AE27" s="177" t="str">
        <f>IF($C27="","",VLOOKUP($C27,'분양가테이블(부가세기입X)'!$A$6:$AF$358,24,FALSE))</f>
        <v/>
      </c>
      <c r="AF27" s="177"/>
      <c r="AG27" s="177" t="str">
        <f>IF($C27="","",VLOOKUP($C27,'분양가테이블(부가세기입X)'!$A$6:$AF$358,3,FALSE))</f>
        <v/>
      </c>
      <c r="AH27" s="177"/>
      <c r="AI27" s="177" t="str">
        <f>IF($C27="","",VLOOKUP($C27,'분양가테이블(부가세기입X)'!$A$6:$AF$358,25,FALSE))</f>
        <v/>
      </c>
      <c r="AJ27" s="177"/>
      <c r="AK27" s="177" t="str">
        <f>IF($C27="","",VLOOKUP($C27,'분양가테이블(부가세기입X)'!$A$6:$AF$358,3,FALSE))</f>
        <v/>
      </c>
      <c r="AL27" s="177"/>
      <c r="AM27" s="178"/>
      <c r="AN27" s="178"/>
      <c r="AO27" s="178"/>
      <c r="AP27" s="178"/>
      <c r="AQ27" s="177" t="str">
        <f t="shared" si="0"/>
        <v/>
      </c>
      <c r="AR27" s="177"/>
      <c r="AS27" s="177" t="str">
        <f>IF($C27="","",VLOOKUP($C27,'분양가테이블(부가세기입X)'!$A$6:$AF$358,3,FALSE))</f>
        <v/>
      </c>
      <c r="AT27" s="177"/>
      <c r="AU27" s="179"/>
      <c r="AV27" s="179"/>
      <c r="AW27" s="179"/>
      <c r="AX27" s="179"/>
      <c r="AY27" s="2"/>
      <c r="AZ27" s="10"/>
      <c r="BA27" s="2"/>
      <c r="BB27" s="1"/>
    </row>
    <row r="28" spans="1:54" ht="39.950000000000003" customHeight="1">
      <c r="A28" s="10"/>
      <c r="B28" s="2"/>
      <c r="C28" s="180"/>
      <c r="D28" s="181"/>
      <c r="E28" s="182" t="str">
        <f>IF($C28="","",VLOOKUP($C28,'분양가테이블(부가세기입X)'!$A$6:$AF$358,2,FALSE))</f>
        <v/>
      </c>
      <c r="F28" s="183"/>
      <c r="G28" s="183"/>
      <c r="H28" s="184"/>
      <c r="I28" s="185" t="str">
        <f>IF($C28="","",VLOOKUP($C28,'분양가테이블(부가세기입X)'!$A$6:$AF$358,3,FALSE))</f>
        <v/>
      </c>
      <c r="J28" s="186"/>
      <c r="K28" s="187" t="str">
        <f>IF($C28="","",VLOOKUP($C28,'분양가테이블(부가세기입X)'!$A$6:$AF$358,4,FALSE))</f>
        <v/>
      </c>
      <c r="L28" s="187"/>
      <c r="M28" s="187" t="str">
        <f>IF($C28="","",VLOOKUP($C28,'분양가테이블(부가세기입X)'!$A$6:$AF$358,5,FALSE))</f>
        <v/>
      </c>
      <c r="N28" s="187"/>
      <c r="O28" s="188" t="str">
        <f>IF($C28="","",VLOOKUP($C28,'분양가테이블(부가세기입X)'!$A$6:$AF$358,12,FALSE))</f>
        <v/>
      </c>
      <c r="P28" s="188"/>
      <c r="Q28" s="188" t="str">
        <f>IF($C28="","",VLOOKUP($C28,'분양가테이블(부가세기입X)'!$A$6:$AF$358,13,FALSE))</f>
        <v/>
      </c>
      <c r="R28" s="188"/>
      <c r="S28" s="188" t="str">
        <f>IF($C28="","",VLOOKUP($C28,'분양가테이블(부가세기입X)'!$A$6:$AF$358,6,FALSE))</f>
        <v/>
      </c>
      <c r="T28" s="188"/>
      <c r="U28" s="188" t="str">
        <f>IF($C28="","",VLOOKUP($C28,'분양가테이블(부가세기입X)'!$A$6:$AF$358,7,FALSE))</f>
        <v/>
      </c>
      <c r="V28" s="188"/>
      <c r="W28" s="177" t="str">
        <f>IF($C28="","",VLOOKUP($C28,'분양가테이블(부가세기입X)'!$A$6:$AF$358,22,FALSE))</f>
        <v/>
      </c>
      <c r="X28" s="177"/>
      <c r="Y28" s="177" t="str">
        <f>IF($C28="","",VLOOKUP($C28,'분양가테이블(부가세기입X)'!$A$6:$AF$358,3,FALSE))</f>
        <v/>
      </c>
      <c r="Z28" s="177"/>
      <c r="AA28" s="177" t="str">
        <f>IF($C28="","",VLOOKUP($C28,'분양가테이블(부가세기입X)'!$A$6:$AF$358,23,FALSE))</f>
        <v/>
      </c>
      <c r="AB28" s="177"/>
      <c r="AC28" s="177" t="str">
        <f>IF($C28="","",VLOOKUP($C28,'분양가테이블(부가세기입X)'!$A$6:$AF$358,3,FALSE))</f>
        <v/>
      </c>
      <c r="AD28" s="177"/>
      <c r="AE28" s="177" t="str">
        <f>IF($C28="","",VLOOKUP($C28,'분양가테이블(부가세기입X)'!$A$6:$AF$358,24,FALSE))</f>
        <v/>
      </c>
      <c r="AF28" s="177"/>
      <c r="AG28" s="177" t="str">
        <f>IF($C28="","",VLOOKUP($C28,'분양가테이블(부가세기입X)'!$A$6:$AF$358,3,FALSE))</f>
        <v/>
      </c>
      <c r="AH28" s="177"/>
      <c r="AI28" s="177" t="str">
        <f>IF($C28="","",VLOOKUP($C28,'분양가테이블(부가세기입X)'!$A$6:$AF$358,25,FALSE))</f>
        <v/>
      </c>
      <c r="AJ28" s="177"/>
      <c r="AK28" s="177" t="str">
        <f>IF($C28="","",VLOOKUP($C28,'분양가테이블(부가세기입X)'!$A$6:$AF$358,3,FALSE))</f>
        <v/>
      </c>
      <c r="AL28" s="177"/>
      <c r="AM28" s="178"/>
      <c r="AN28" s="178"/>
      <c r="AO28" s="178"/>
      <c r="AP28" s="178"/>
      <c r="AQ28" s="177" t="str">
        <f t="shared" si="0"/>
        <v/>
      </c>
      <c r="AR28" s="177"/>
      <c r="AS28" s="177" t="str">
        <f>IF($C28="","",VLOOKUP($C28,'분양가테이블(부가세기입X)'!$A$6:$AF$358,3,FALSE))</f>
        <v/>
      </c>
      <c r="AT28" s="177"/>
      <c r="AU28" s="179"/>
      <c r="AV28" s="179"/>
      <c r="AW28" s="179"/>
      <c r="AX28" s="179"/>
      <c r="AY28" s="2"/>
      <c r="AZ28" s="10"/>
      <c r="BA28" s="2"/>
      <c r="BB28" s="1"/>
    </row>
    <row r="29" spans="1:54" ht="39.950000000000003" customHeight="1">
      <c r="A29" s="10"/>
      <c r="B29" s="2"/>
      <c r="C29" s="180"/>
      <c r="D29" s="181"/>
      <c r="E29" s="182" t="str">
        <f>IF($C29="","",VLOOKUP($C29,'분양가테이블(부가세기입X)'!$A$6:$AF$358,2,FALSE))</f>
        <v/>
      </c>
      <c r="F29" s="183"/>
      <c r="G29" s="183"/>
      <c r="H29" s="184"/>
      <c r="I29" s="185" t="str">
        <f>IF($C29="","",VLOOKUP($C29,'분양가테이블(부가세기입X)'!$A$6:$AF$358,3,FALSE))</f>
        <v/>
      </c>
      <c r="J29" s="186"/>
      <c r="K29" s="187" t="str">
        <f>IF($C29="","",VLOOKUP($C29,'분양가테이블(부가세기입X)'!$A$6:$AF$358,4,FALSE))</f>
        <v/>
      </c>
      <c r="L29" s="187"/>
      <c r="M29" s="187" t="str">
        <f>IF($C29="","",VLOOKUP($C29,'분양가테이블(부가세기입X)'!$A$6:$AF$358,5,FALSE))</f>
        <v/>
      </c>
      <c r="N29" s="187"/>
      <c r="O29" s="188" t="str">
        <f>IF($C29="","",VLOOKUP($C29,'분양가테이블(부가세기입X)'!$A$6:$AF$358,12,FALSE))</f>
        <v/>
      </c>
      <c r="P29" s="188"/>
      <c r="Q29" s="188" t="str">
        <f>IF($C29="","",VLOOKUP($C29,'분양가테이블(부가세기입X)'!$A$6:$AF$358,13,FALSE))</f>
        <v/>
      </c>
      <c r="R29" s="188"/>
      <c r="S29" s="188" t="str">
        <f>IF($C29="","",VLOOKUP($C29,'분양가테이블(부가세기입X)'!$A$6:$AF$358,6,FALSE))</f>
        <v/>
      </c>
      <c r="T29" s="188"/>
      <c r="U29" s="188" t="str">
        <f>IF($C29="","",VLOOKUP($C29,'분양가테이블(부가세기입X)'!$A$6:$AF$358,7,FALSE))</f>
        <v/>
      </c>
      <c r="V29" s="188"/>
      <c r="W29" s="177" t="str">
        <f>IF($C29="","",VLOOKUP($C29,'분양가테이블(부가세기입X)'!$A$6:$AF$358,22,FALSE))</f>
        <v/>
      </c>
      <c r="X29" s="177"/>
      <c r="Y29" s="177" t="str">
        <f>IF($C29="","",VLOOKUP($C29,'분양가테이블(부가세기입X)'!$A$6:$AF$358,3,FALSE))</f>
        <v/>
      </c>
      <c r="Z29" s="177"/>
      <c r="AA29" s="177" t="str">
        <f>IF($C29="","",VLOOKUP($C29,'분양가테이블(부가세기입X)'!$A$6:$AF$358,23,FALSE))</f>
        <v/>
      </c>
      <c r="AB29" s="177"/>
      <c r="AC29" s="177" t="str">
        <f>IF($C29="","",VLOOKUP($C29,'분양가테이블(부가세기입X)'!$A$6:$AF$358,3,FALSE))</f>
        <v/>
      </c>
      <c r="AD29" s="177"/>
      <c r="AE29" s="177" t="str">
        <f>IF($C29="","",VLOOKUP($C29,'분양가테이블(부가세기입X)'!$A$6:$AF$358,24,FALSE))</f>
        <v/>
      </c>
      <c r="AF29" s="177"/>
      <c r="AG29" s="177" t="str">
        <f>IF($C29="","",VLOOKUP($C29,'분양가테이블(부가세기입X)'!$A$6:$AF$358,3,FALSE))</f>
        <v/>
      </c>
      <c r="AH29" s="177"/>
      <c r="AI29" s="177" t="str">
        <f>IF($C29="","",VLOOKUP($C29,'분양가테이블(부가세기입X)'!$A$6:$AF$358,25,FALSE))</f>
        <v/>
      </c>
      <c r="AJ29" s="177"/>
      <c r="AK29" s="177" t="str">
        <f>IF($C29="","",VLOOKUP($C29,'분양가테이블(부가세기입X)'!$A$6:$AF$358,3,FALSE))</f>
        <v/>
      </c>
      <c r="AL29" s="177"/>
      <c r="AM29" s="178"/>
      <c r="AN29" s="178"/>
      <c r="AO29" s="178"/>
      <c r="AP29" s="178"/>
      <c r="AQ29" s="177" t="str">
        <f t="shared" si="0"/>
        <v/>
      </c>
      <c r="AR29" s="177"/>
      <c r="AS29" s="177" t="str">
        <f>IF($C29="","",VLOOKUP($C29,'분양가테이블(부가세기입X)'!$A$6:$AF$358,3,FALSE))</f>
        <v/>
      </c>
      <c r="AT29" s="177"/>
      <c r="AU29" s="179"/>
      <c r="AV29" s="179"/>
      <c r="AW29" s="179"/>
      <c r="AX29" s="179"/>
      <c r="AY29" s="2"/>
      <c r="AZ29" s="10"/>
      <c r="BA29" s="2"/>
      <c r="BB29" s="1"/>
    </row>
    <row r="30" spans="1:54" ht="39.950000000000003" customHeight="1">
      <c r="A30" s="10"/>
      <c r="B30" s="2"/>
      <c r="C30" s="180"/>
      <c r="D30" s="181"/>
      <c r="E30" s="182" t="str">
        <f>IF($C30="","",VLOOKUP($C30,'분양가테이블(부가세기입X)'!$A$6:$AF$358,2,FALSE))</f>
        <v/>
      </c>
      <c r="F30" s="183"/>
      <c r="G30" s="183"/>
      <c r="H30" s="184"/>
      <c r="I30" s="185" t="str">
        <f>IF($C30="","",VLOOKUP($C30,'분양가테이블(부가세기입X)'!$A$6:$AF$358,3,FALSE))</f>
        <v/>
      </c>
      <c r="J30" s="186"/>
      <c r="K30" s="187" t="str">
        <f>IF($C30="","",VLOOKUP($C30,'분양가테이블(부가세기입X)'!$A$6:$AF$358,4,FALSE))</f>
        <v/>
      </c>
      <c r="L30" s="187"/>
      <c r="M30" s="187" t="str">
        <f>IF($C30="","",VLOOKUP($C30,'분양가테이블(부가세기입X)'!$A$6:$AF$358,5,FALSE))</f>
        <v/>
      </c>
      <c r="N30" s="187"/>
      <c r="O30" s="188" t="str">
        <f>IF($C30="","",VLOOKUP($C30,'분양가테이블(부가세기입X)'!$A$6:$AF$358,12,FALSE))</f>
        <v/>
      </c>
      <c r="P30" s="188"/>
      <c r="Q30" s="188" t="str">
        <f>IF($C30="","",VLOOKUP($C30,'분양가테이블(부가세기입X)'!$A$6:$AF$358,13,FALSE))</f>
        <v/>
      </c>
      <c r="R30" s="188"/>
      <c r="S30" s="188" t="str">
        <f>IF($C30="","",VLOOKUP($C30,'분양가테이블(부가세기입X)'!$A$6:$AF$358,6,FALSE))</f>
        <v/>
      </c>
      <c r="T30" s="188"/>
      <c r="U30" s="188" t="str">
        <f>IF($C30="","",VLOOKUP($C30,'분양가테이블(부가세기입X)'!$A$6:$AF$358,7,FALSE))</f>
        <v/>
      </c>
      <c r="V30" s="188"/>
      <c r="W30" s="177" t="str">
        <f>IF($C30="","",VLOOKUP($C30,'분양가테이블(부가세기입X)'!$A$6:$AF$358,22,FALSE))</f>
        <v/>
      </c>
      <c r="X30" s="177"/>
      <c r="Y30" s="177" t="str">
        <f>IF($C30="","",VLOOKUP($C30,'분양가테이블(부가세기입X)'!$A$6:$AF$358,3,FALSE))</f>
        <v/>
      </c>
      <c r="Z30" s="177"/>
      <c r="AA30" s="177" t="str">
        <f>IF($C30="","",VLOOKUP($C30,'분양가테이블(부가세기입X)'!$A$6:$AF$358,23,FALSE))</f>
        <v/>
      </c>
      <c r="AB30" s="177"/>
      <c r="AC30" s="177" t="str">
        <f>IF($C30="","",VLOOKUP($C30,'분양가테이블(부가세기입X)'!$A$6:$AF$358,3,FALSE))</f>
        <v/>
      </c>
      <c r="AD30" s="177"/>
      <c r="AE30" s="177" t="str">
        <f>IF($C30="","",VLOOKUP($C30,'분양가테이블(부가세기입X)'!$A$6:$AF$358,24,FALSE))</f>
        <v/>
      </c>
      <c r="AF30" s="177"/>
      <c r="AG30" s="177" t="str">
        <f>IF($C30="","",VLOOKUP($C30,'분양가테이블(부가세기입X)'!$A$6:$AF$358,3,FALSE))</f>
        <v/>
      </c>
      <c r="AH30" s="177"/>
      <c r="AI30" s="177" t="str">
        <f>IF($C30="","",VLOOKUP($C30,'분양가테이블(부가세기입X)'!$A$6:$AF$358,25,FALSE))</f>
        <v/>
      </c>
      <c r="AJ30" s="177"/>
      <c r="AK30" s="177" t="str">
        <f>IF($C30="","",VLOOKUP($C30,'분양가테이블(부가세기입X)'!$A$6:$AF$358,3,FALSE))</f>
        <v/>
      </c>
      <c r="AL30" s="177"/>
      <c r="AM30" s="178"/>
      <c r="AN30" s="178"/>
      <c r="AO30" s="178"/>
      <c r="AP30" s="178"/>
      <c r="AQ30" s="177" t="str">
        <f t="shared" si="0"/>
        <v/>
      </c>
      <c r="AR30" s="177"/>
      <c r="AS30" s="177" t="str">
        <f>IF($C30="","",VLOOKUP($C30,'분양가테이블(부가세기입X)'!$A$6:$AF$358,3,FALSE))</f>
        <v/>
      </c>
      <c r="AT30" s="177"/>
      <c r="AU30" s="179"/>
      <c r="AV30" s="179"/>
      <c r="AW30" s="179"/>
      <c r="AX30" s="179"/>
      <c r="AY30" s="2"/>
      <c r="AZ30" s="10"/>
      <c r="BA30" s="2"/>
      <c r="BB30" s="1"/>
    </row>
    <row r="31" spans="1:54" ht="39.950000000000003" customHeight="1">
      <c r="A31" s="10"/>
      <c r="B31" s="2"/>
      <c r="C31" s="180"/>
      <c r="D31" s="181"/>
      <c r="E31" s="182" t="str">
        <f>IF($C31="","",VLOOKUP($C31,'분양가테이블(부가세기입X)'!$A$6:$AF$358,2,FALSE))</f>
        <v/>
      </c>
      <c r="F31" s="183"/>
      <c r="G31" s="183"/>
      <c r="H31" s="184"/>
      <c r="I31" s="185" t="str">
        <f>IF($C31="","",VLOOKUP($C31,'분양가테이블(부가세기입X)'!$A$6:$AF$358,3,FALSE))</f>
        <v/>
      </c>
      <c r="J31" s="186"/>
      <c r="K31" s="187" t="str">
        <f>IF($C31="","",VLOOKUP($C31,'분양가테이블(부가세기입X)'!$A$6:$AF$358,4,FALSE))</f>
        <v/>
      </c>
      <c r="L31" s="187"/>
      <c r="M31" s="187" t="str">
        <f>IF($C31="","",VLOOKUP($C31,'분양가테이블(부가세기입X)'!$A$6:$AF$358,5,FALSE))</f>
        <v/>
      </c>
      <c r="N31" s="187"/>
      <c r="O31" s="188" t="str">
        <f>IF($C31="","",VLOOKUP($C31,'분양가테이블(부가세기입X)'!$A$6:$AF$358,12,FALSE))</f>
        <v/>
      </c>
      <c r="P31" s="188"/>
      <c r="Q31" s="188" t="str">
        <f>IF($C31="","",VLOOKUP($C31,'분양가테이블(부가세기입X)'!$A$6:$AF$358,13,FALSE))</f>
        <v/>
      </c>
      <c r="R31" s="188"/>
      <c r="S31" s="188" t="str">
        <f>IF($C31="","",VLOOKUP($C31,'분양가테이블(부가세기입X)'!$A$6:$AF$358,6,FALSE))</f>
        <v/>
      </c>
      <c r="T31" s="188"/>
      <c r="U31" s="188" t="str">
        <f>IF($C31="","",VLOOKUP($C31,'분양가테이블(부가세기입X)'!$A$6:$AF$358,7,FALSE))</f>
        <v/>
      </c>
      <c r="V31" s="188"/>
      <c r="W31" s="177" t="str">
        <f>IF($C31="","",VLOOKUP($C31,'분양가테이블(부가세기입X)'!$A$6:$AF$358,22,FALSE))</f>
        <v/>
      </c>
      <c r="X31" s="177"/>
      <c r="Y31" s="177" t="str">
        <f>IF($C31="","",VLOOKUP($C31,'분양가테이블(부가세기입X)'!$A$6:$AF$358,3,FALSE))</f>
        <v/>
      </c>
      <c r="Z31" s="177"/>
      <c r="AA31" s="177" t="str">
        <f>IF($C31="","",VLOOKUP($C31,'분양가테이블(부가세기입X)'!$A$6:$AF$358,23,FALSE))</f>
        <v/>
      </c>
      <c r="AB31" s="177"/>
      <c r="AC31" s="177" t="str">
        <f>IF($C31="","",VLOOKUP($C31,'분양가테이블(부가세기입X)'!$A$6:$AF$358,3,FALSE))</f>
        <v/>
      </c>
      <c r="AD31" s="177"/>
      <c r="AE31" s="177" t="str">
        <f>IF($C31="","",VLOOKUP($C31,'분양가테이블(부가세기입X)'!$A$6:$AF$358,24,FALSE))</f>
        <v/>
      </c>
      <c r="AF31" s="177"/>
      <c r="AG31" s="177" t="str">
        <f>IF($C31="","",VLOOKUP($C31,'분양가테이블(부가세기입X)'!$A$6:$AF$358,3,FALSE))</f>
        <v/>
      </c>
      <c r="AH31" s="177"/>
      <c r="AI31" s="177" t="str">
        <f>IF($C31="","",VLOOKUP($C31,'분양가테이블(부가세기입X)'!$A$6:$AF$358,25,FALSE))</f>
        <v/>
      </c>
      <c r="AJ31" s="177"/>
      <c r="AK31" s="177" t="str">
        <f>IF($C31="","",VLOOKUP($C31,'분양가테이블(부가세기입X)'!$A$6:$AF$358,3,FALSE))</f>
        <v/>
      </c>
      <c r="AL31" s="177"/>
      <c r="AM31" s="178"/>
      <c r="AN31" s="178"/>
      <c r="AO31" s="178"/>
      <c r="AP31" s="178"/>
      <c r="AQ31" s="177" t="str">
        <f t="shared" si="0"/>
        <v/>
      </c>
      <c r="AR31" s="177"/>
      <c r="AS31" s="177" t="str">
        <f>IF($C31="","",VLOOKUP($C31,'분양가테이블(부가세기입X)'!$A$6:$AF$358,3,FALSE))</f>
        <v/>
      </c>
      <c r="AT31" s="177"/>
      <c r="AU31" s="179"/>
      <c r="AV31" s="179"/>
      <c r="AW31" s="179"/>
      <c r="AX31" s="179"/>
      <c r="AY31" s="2"/>
      <c r="AZ31" s="10"/>
      <c r="BA31" s="2"/>
      <c r="BB31" s="1"/>
    </row>
    <row r="32" spans="1:54" ht="39.950000000000003" customHeight="1">
      <c r="A32" s="10"/>
      <c r="B32" s="2"/>
      <c r="C32" s="180"/>
      <c r="D32" s="181"/>
      <c r="E32" s="182" t="str">
        <f>IF($C32="","",VLOOKUP($C32,'분양가테이블(부가세기입X)'!$A$6:$AF$358,2,FALSE))</f>
        <v/>
      </c>
      <c r="F32" s="183"/>
      <c r="G32" s="183"/>
      <c r="H32" s="184"/>
      <c r="I32" s="185" t="str">
        <f>IF($C32="","",VLOOKUP($C32,'분양가테이블(부가세기입X)'!$A$6:$AF$358,3,FALSE))</f>
        <v/>
      </c>
      <c r="J32" s="186"/>
      <c r="K32" s="187" t="str">
        <f>IF($C32="","",VLOOKUP($C32,'분양가테이블(부가세기입X)'!$A$6:$AF$358,4,FALSE))</f>
        <v/>
      </c>
      <c r="L32" s="187"/>
      <c r="M32" s="187" t="str">
        <f>IF($C32="","",VLOOKUP($C32,'분양가테이블(부가세기입X)'!$A$6:$AF$358,5,FALSE))</f>
        <v/>
      </c>
      <c r="N32" s="187"/>
      <c r="O32" s="188" t="str">
        <f>IF($C32="","",VLOOKUP($C32,'분양가테이블(부가세기입X)'!$A$6:$AF$358,12,FALSE))</f>
        <v/>
      </c>
      <c r="P32" s="188"/>
      <c r="Q32" s="188" t="str">
        <f>IF($C32="","",VLOOKUP($C32,'분양가테이블(부가세기입X)'!$A$6:$AF$358,13,FALSE))</f>
        <v/>
      </c>
      <c r="R32" s="188"/>
      <c r="S32" s="188" t="str">
        <f>IF($C32="","",VLOOKUP($C32,'분양가테이블(부가세기입X)'!$A$6:$AF$358,6,FALSE))</f>
        <v/>
      </c>
      <c r="T32" s="188"/>
      <c r="U32" s="188" t="str">
        <f>IF($C32="","",VLOOKUP($C32,'분양가테이블(부가세기입X)'!$A$6:$AF$358,7,FALSE))</f>
        <v/>
      </c>
      <c r="V32" s="188"/>
      <c r="W32" s="177" t="str">
        <f>IF($C32="","",VLOOKUP($C32,'분양가테이블(부가세기입X)'!$A$6:$AF$358,22,FALSE))</f>
        <v/>
      </c>
      <c r="X32" s="177"/>
      <c r="Y32" s="177" t="str">
        <f>IF($C32="","",VLOOKUP($C32,'분양가테이블(부가세기입X)'!$A$6:$AF$358,3,FALSE))</f>
        <v/>
      </c>
      <c r="Z32" s="177"/>
      <c r="AA32" s="177" t="str">
        <f>IF($C32="","",VLOOKUP($C32,'분양가테이블(부가세기입X)'!$A$6:$AF$358,23,FALSE))</f>
        <v/>
      </c>
      <c r="AB32" s="177"/>
      <c r="AC32" s="177" t="str">
        <f>IF($C32="","",VLOOKUP($C32,'분양가테이블(부가세기입X)'!$A$6:$AF$358,3,FALSE))</f>
        <v/>
      </c>
      <c r="AD32" s="177"/>
      <c r="AE32" s="177" t="str">
        <f>IF($C32="","",VLOOKUP($C32,'분양가테이블(부가세기입X)'!$A$6:$AF$358,24,FALSE))</f>
        <v/>
      </c>
      <c r="AF32" s="177"/>
      <c r="AG32" s="177" t="str">
        <f>IF($C32="","",VLOOKUP($C32,'분양가테이블(부가세기입X)'!$A$6:$AF$358,3,FALSE))</f>
        <v/>
      </c>
      <c r="AH32" s="177"/>
      <c r="AI32" s="177" t="str">
        <f>IF($C32="","",VLOOKUP($C32,'분양가테이블(부가세기입X)'!$A$6:$AF$358,25,FALSE))</f>
        <v/>
      </c>
      <c r="AJ32" s="177"/>
      <c r="AK32" s="177" t="str">
        <f>IF($C32="","",VLOOKUP($C32,'분양가테이블(부가세기입X)'!$A$6:$AF$358,3,FALSE))</f>
        <v/>
      </c>
      <c r="AL32" s="177"/>
      <c r="AM32" s="178"/>
      <c r="AN32" s="178"/>
      <c r="AO32" s="178"/>
      <c r="AP32" s="178"/>
      <c r="AQ32" s="177" t="str">
        <f t="shared" si="0"/>
        <v/>
      </c>
      <c r="AR32" s="177"/>
      <c r="AS32" s="177" t="str">
        <f>IF($C32="","",VLOOKUP($C32,'분양가테이블(부가세기입X)'!$A$6:$AF$358,3,FALSE))</f>
        <v/>
      </c>
      <c r="AT32" s="177"/>
      <c r="AU32" s="179"/>
      <c r="AV32" s="179"/>
      <c r="AW32" s="179"/>
      <c r="AX32" s="179"/>
      <c r="AY32" s="2"/>
      <c r="AZ32" s="10"/>
      <c r="BA32" s="2"/>
      <c r="BB32" s="1"/>
    </row>
    <row r="33" spans="1:54" ht="39.950000000000003" customHeight="1">
      <c r="A33" s="10"/>
      <c r="B33" s="2"/>
      <c r="C33" s="180"/>
      <c r="D33" s="181"/>
      <c r="E33" s="182" t="str">
        <f>IF($C33="","",VLOOKUP($C33,'분양가테이블(부가세기입X)'!$A$6:$AF$358,2,FALSE))</f>
        <v/>
      </c>
      <c r="F33" s="183"/>
      <c r="G33" s="183"/>
      <c r="H33" s="184"/>
      <c r="I33" s="185" t="str">
        <f>IF($C33="","",VLOOKUP($C33,'분양가테이블(부가세기입X)'!$A$6:$AF$358,3,FALSE))</f>
        <v/>
      </c>
      <c r="J33" s="186"/>
      <c r="K33" s="187" t="str">
        <f>IF($C33="","",VLOOKUP($C33,'분양가테이블(부가세기입X)'!$A$6:$AF$358,4,FALSE))</f>
        <v/>
      </c>
      <c r="L33" s="187"/>
      <c r="M33" s="187" t="str">
        <f>IF($C33="","",VLOOKUP($C33,'분양가테이블(부가세기입X)'!$A$6:$AF$358,5,FALSE))</f>
        <v/>
      </c>
      <c r="N33" s="187"/>
      <c r="O33" s="188" t="str">
        <f>IF($C33="","",VLOOKUP($C33,'분양가테이블(부가세기입X)'!$A$6:$AF$358,12,FALSE))</f>
        <v/>
      </c>
      <c r="P33" s="188"/>
      <c r="Q33" s="188" t="str">
        <f>IF($C33="","",VLOOKUP($C33,'분양가테이블(부가세기입X)'!$A$6:$AF$358,13,FALSE))</f>
        <v/>
      </c>
      <c r="R33" s="188"/>
      <c r="S33" s="188" t="str">
        <f>IF($C33="","",VLOOKUP($C33,'분양가테이블(부가세기입X)'!$A$6:$AF$358,6,FALSE))</f>
        <v/>
      </c>
      <c r="T33" s="188"/>
      <c r="U33" s="188" t="str">
        <f>IF($C33="","",VLOOKUP($C33,'분양가테이블(부가세기입X)'!$A$6:$AF$358,7,FALSE))</f>
        <v/>
      </c>
      <c r="V33" s="188"/>
      <c r="W33" s="177" t="str">
        <f>IF($C33="","",VLOOKUP($C33,'분양가테이블(부가세기입X)'!$A$6:$AF$358,22,FALSE))</f>
        <v/>
      </c>
      <c r="X33" s="177"/>
      <c r="Y33" s="177" t="str">
        <f>IF($C33="","",VLOOKUP($C33,'분양가테이블(부가세기입X)'!$A$6:$AF$358,3,FALSE))</f>
        <v/>
      </c>
      <c r="Z33" s="177"/>
      <c r="AA33" s="177" t="str">
        <f>IF($C33="","",VLOOKUP($C33,'분양가테이블(부가세기입X)'!$A$6:$AF$358,23,FALSE))</f>
        <v/>
      </c>
      <c r="AB33" s="177"/>
      <c r="AC33" s="177" t="str">
        <f>IF($C33="","",VLOOKUP($C33,'분양가테이블(부가세기입X)'!$A$6:$AF$358,3,FALSE))</f>
        <v/>
      </c>
      <c r="AD33" s="177"/>
      <c r="AE33" s="177" t="str">
        <f>IF($C33="","",VLOOKUP($C33,'분양가테이블(부가세기입X)'!$A$6:$AF$358,24,FALSE))</f>
        <v/>
      </c>
      <c r="AF33" s="177"/>
      <c r="AG33" s="177" t="str">
        <f>IF($C33="","",VLOOKUP($C33,'분양가테이블(부가세기입X)'!$A$6:$AF$358,3,FALSE))</f>
        <v/>
      </c>
      <c r="AH33" s="177"/>
      <c r="AI33" s="177" t="str">
        <f>IF($C33="","",VLOOKUP($C33,'분양가테이블(부가세기입X)'!$A$6:$AF$358,25,FALSE))</f>
        <v/>
      </c>
      <c r="AJ33" s="177"/>
      <c r="AK33" s="177" t="str">
        <f>IF($C33="","",VLOOKUP($C33,'분양가테이블(부가세기입X)'!$A$6:$AF$358,3,FALSE))</f>
        <v/>
      </c>
      <c r="AL33" s="177"/>
      <c r="AM33" s="178"/>
      <c r="AN33" s="178"/>
      <c r="AO33" s="178"/>
      <c r="AP33" s="178"/>
      <c r="AQ33" s="177" t="str">
        <f t="shared" si="0"/>
        <v/>
      </c>
      <c r="AR33" s="177"/>
      <c r="AS33" s="177" t="str">
        <f>IF($C33="","",VLOOKUP($C33,'분양가테이블(부가세기입X)'!$A$6:$AF$358,3,FALSE))</f>
        <v/>
      </c>
      <c r="AT33" s="177"/>
      <c r="AU33" s="179"/>
      <c r="AV33" s="179"/>
      <c r="AW33" s="179"/>
      <c r="AX33" s="179"/>
      <c r="AY33" s="2"/>
      <c r="AZ33" s="10"/>
      <c r="BA33" s="2"/>
      <c r="BB33" s="1"/>
    </row>
    <row r="34" spans="1:54" ht="39.950000000000003" customHeight="1">
      <c r="A34" s="10"/>
      <c r="B34" s="2"/>
      <c r="C34" s="180"/>
      <c r="D34" s="181"/>
      <c r="E34" s="182" t="str">
        <f>IF($C34="","",VLOOKUP($C34,'분양가테이블(부가세기입X)'!$A$6:$AF$358,2,FALSE))</f>
        <v/>
      </c>
      <c r="F34" s="183"/>
      <c r="G34" s="183"/>
      <c r="H34" s="184"/>
      <c r="I34" s="185" t="str">
        <f>IF($C34="","",VLOOKUP($C34,'분양가테이블(부가세기입X)'!$A$6:$AF$358,3,FALSE))</f>
        <v/>
      </c>
      <c r="J34" s="186"/>
      <c r="K34" s="187" t="str">
        <f>IF($C34="","",VLOOKUP($C34,'분양가테이블(부가세기입X)'!$A$6:$AF$358,4,FALSE))</f>
        <v/>
      </c>
      <c r="L34" s="187"/>
      <c r="M34" s="187" t="str">
        <f>IF($C34="","",VLOOKUP($C34,'분양가테이블(부가세기입X)'!$A$6:$AF$358,5,FALSE))</f>
        <v/>
      </c>
      <c r="N34" s="187"/>
      <c r="O34" s="188" t="str">
        <f>IF($C34="","",VLOOKUP($C34,'분양가테이블(부가세기입X)'!$A$6:$AF$358,12,FALSE))</f>
        <v/>
      </c>
      <c r="P34" s="188"/>
      <c r="Q34" s="188" t="str">
        <f>IF($C34="","",VLOOKUP($C34,'분양가테이블(부가세기입X)'!$A$6:$AF$358,13,FALSE))</f>
        <v/>
      </c>
      <c r="R34" s="188"/>
      <c r="S34" s="188" t="str">
        <f>IF($C34="","",VLOOKUP($C34,'분양가테이블(부가세기입X)'!$A$6:$AF$358,6,FALSE))</f>
        <v/>
      </c>
      <c r="T34" s="188"/>
      <c r="U34" s="188" t="str">
        <f>IF($C34="","",VLOOKUP($C34,'분양가테이블(부가세기입X)'!$A$6:$AF$358,7,FALSE))</f>
        <v/>
      </c>
      <c r="V34" s="188"/>
      <c r="W34" s="177" t="str">
        <f>IF($C34="","",VLOOKUP($C34,'분양가테이블(부가세기입X)'!$A$6:$AF$358,22,FALSE))</f>
        <v/>
      </c>
      <c r="X34" s="177"/>
      <c r="Y34" s="177" t="str">
        <f>IF($C34="","",VLOOKUP($C34,'분양가테이블(부가세기입X)'!$A$6:$AF$358,3,FALSE))</f>
        <v/>
      </c>
      <c r="Z34" s="177"/>
      <c r="AA34" s="177" t="str">
        <f>IF($C34="","",VLOOKUP($C34,'분양가테이블(부가세기입X)'!$A$6:$AF$358,23,FALSE))</f>
        <v/>
      </c>
      <c r="AB34" s="177"/>
      <c r="AC34" s="177" t="str">
        <f>IF($C34="","",VLOOKUP($C34,'분양가테이블(부가세기입X)'!$A$6:$AF$358,3,FALSE))</f>
        <v/>
      </c>
      <c r="AD34" s="177"/>
      <c r="AE34" s="177" t="str">
        <f>IF($C34="","",VLOOKUP($C34,'분양가테이블(부가세기입X)'!$A$6:$AF$358,24,FALSE))</f>
        <v/>
      </c>
      <c r="AF34" s="177"/>
      <c r="AG34" s="177" t="str">
        <f>IF($C34="","",VLOOKUP($C34,'분양가테이블(부가세기입X)'!$A$6:$AF$358,3,FALSE))</f>
        <v/>
      </c>
      <c r="AH34" s="177"/>
      <c r="AI34" s="177" t="str">
        <f>IF($C34="","",VLOOKUP($C34,'분양가테이블(부가세기입X)'!$A$6:$AF$358,25,FALSE))</f>
        <v/>
      </c>
      <c r="AJ34" s="177"/>
      <c r="AK34" s="177" t="str">
        <f>IF($C34="","",VLOOKUP($C34,'분양가테이블(부가세기입X)'!$A$6:$AF$358,3,FALSE))</f>
        <v/>
      </c>
      <c r="AL34" s="177"/>
      <c r="AM34" s="178"/>
      <c r="AN34" s="178"/>
      <c r="AO34" s="178"/>
      <c r="AP34" s="178"/>
      <c r="AQ34" s="177" t="str">
        <f t="shared" si="0"/>
        <v/>
      </c>
      <c r="AR34" s="177"/>
      <c r="AS34" s="177" t="str">
        <f>IF($C34="","",VLOOKUP($C34,'분양가테이블(부가세기입X)'!$A$6:$AF$358,3,FALSE))</f>
        <v/>
      </c>
      <c r="AT34" s="177"/>
      <c r="AU34" s="179"/>
      <c r="AV34" s="179"/>
      <c r="AW34" s="179"/>
      <c r="AX34" s="179"/>
      <c r="AY34" s="2"/>
      <c r="AZ34" s="10"/>
      <c r="BA34" s="2"/>
      <c r="BB34" s="1"/>
    </row>
    <row r="35" spans="1:54" ht="39.950000000000003" customHeight="1">
      <c r="A35" s="10"/>
      <c r="B35" s="2"/>
      <c r="C35" s="180"/>
      <c r="D35" s="181"/>
      <c r="E35" s="182" t="str">
        <f>IF($C35="","",VLOOKUP($C35,'분양가테이블(부가세기입X)'!$A$6:$AF$358,2,FALSE))</f>
        <v/>
      </c>
      <c r="F35" s="183"/>
      <c r="G35" s="183"/>
      <c r="H35" s="184"/>
      <c r="I35" s="185" t="str">
        <f>IF($C35="","",VLOOKUP($C35,'분양가테이블(부가세기입X)'!$A$6:$AF$358,3,FALSE))</f>
        <v/>
      </c>
      <c r="J35" s="186"/>
      <c r="K35" s="187" t="str">
        <f>IF($C35="","",VLOOKUP($C35,'분양가테이블(부가세기입X)'!$A$6:$AF$358,4,FALSE))</f>
        <v/>
      </c>
      <c r="L35" s="187"/>
      <c r="M35" s="187" t="str">
        <f>IF($C35="","",VLOOKUP($C35,'분양가테이블(부가세기입X)'!$A$6:$AF$358,5,FALSE))</f>
        <v/>
      </c>
      <c r="N35" s="187"/>
      <c r="O35" s="188" t="str">
        <f>IF($C35="","",VLOOKUP($C35,'분양가테이블(부가세기입X)'!$A$6:$AF$358,12,FALSE))</f>
        <v/>
      </c>
      <c r="P35" s="188"/>
      <c r="Q35" s="188" t="str">
        <f>IF($C35="","",VLOOKUP($C35,'분양가테이블(부가세기입X)'!$A$6:$AF$358,13,FALSE))</f>
        <v/>
      </c>
      <c r="R35" s="188"/>
      <c r="S35" s="188" t="str">
        <f>IF($C35="","",VLOOKUP($C35,'분양가테이블(부가세기입X)'!$A$6:$AF$358,6,FALSE))</f>
        <v/>
      </c>
      <c r="T35" s="188"/>
      <c r="U35" s="188" t="str">
        <f>IF($C35="","",VLOOKUP($C35,'분양가테이블(부가세기입X)'!$A$6:$AF$358,7,FALSE))</f>
        <v/>
      </c>
      <c r="V35" s="188"/>
      <c r="W35" s="177" t="str">
        <f>IF($C35="","",VLOOKUP($C35,'분양가테이블(부가세기입X)'!$A$6:$AF$358,22,FALSE))</f>
        <v/>
      </c>
      <c r="X35" s="177"/>
      <c r="Y35" s="177" t="str">
        <f>IF($C35="","",VLOOKUP($C35,'분양가테이블(부가세기입X)'!$A$6:$AF$358,3,FALSE))</f>
        <v/>
      </c>
      <c r="Z35" s="177"/>
      <c r="AA35" s="177" t="str">
        <f>IF($C35="","",VLOOKUP($C35,'분양가테이블(부가세기입X)'!$A$6:$AF$358,23,FALSE))</f>
        <v/>
      </c>
      <c r="AB35" s="177"/>
      <c r="AC35" s="177" t="str">
        <f>IF($C35="","",VLOOKUP($C35,'분양가테이블(부가세기입X)'!$A$6:$AF$358,3,FALSE))</f>
        <v/>
      </c>
      <c r="AD35" s="177"/>
      <c r="AE35" s="177" t="str">
        <f>IF($C35="","",VLOOKUP($C35,'분양가테이블(부가세기입X)'!$A$6:$AF$358,24,FALSE))</f>
        <v/>
      </c>
      <c r="AF35" s="177"/>
      <c r="AG35" s="177" t="str">
        <f>IF($C35="","",VLOOKUP($C35,'분양가테이블(부가세기입X)'!$A$6:$AF$358,3,FALSE))</f>
        <v/>
      </c>
      <c r="AH35" s="177"/>
      <c r="AI35" s="177" t="str">
        <f>IF($C35="","",VLOOKUP($C35,'분양가테이블(부가세기입X)'!$A$6:$AF$358,25,FALSE))</f>
        <v/>
      </c>
      <c r="AJ35" s="177"/>
      <c r="AK35" s="177" t="str">
        <f>IF($C35="","",VLOOKUP($C35,'분양가테이블(부가세기입X)'!$A$6:$AF$358,3,FALSE))</f>
        <v/>
      </c>
      <c r="AL35" s="177"/>
      <c r="AM35" s="178"/>
      <c r="AN35" s="178"/>
      <c r="AO35" s="178"/>
      <c r="AP35" s="178"/>
      <c r="AQ35" s="177" t="str">
        <f t="shared" si="0"/>
        <v/>
      </c>
      <c r="AR35" s="177"/>
      <c r="AS35" s="177" t="str">
        <f>IF($C35="","",VLOOKUP($C35,'분양가테이블(부가세기입X)'!$A$6:$AF$358,3,FALSE))</f>
        <v/>
      </c>
      <c r="AT35" s="177"/>
      <c r="AU35" s="179"/>
      <c r="AV35" s="179"/>
      <c r="AW35" s="179"/>
      <c r="AX35" s="179"/>
      <c r="AY35" s="2"/>
      <c r="AZ35" s="10"/>
      <c r="BA35" s="2"/>
      <c r="BB35" s="1"/>
    </row>
    <row r="36" spans="1:54" ht="39.950000000000003" customHeight="1">
      <c r="A36" s="10"/>
      <c r="B36" s="2"/>
      <c r="C36" s="180"/>
      <c r="D36" s="181"/>
      <c r="E36" s="182" t="str">
        <f>IF($C36="","",VLOOKUP($C36,'분양가테이블(부가세기입X)'!$A$6:$AF$358,2,FALSE))</f>
        <v/>
      </c>
      <c r="F36" s="183"/>
      <c r="G36" s="183"/>
      <c r="H36" s="184"/>
      <c r="I36" s="185" t="str">
        <f>IF($C36="","",VLOOKUP($C36,'분양가테이블(부가세기입X)'!$A$6:$AF$358,3,FALSE))</f>
        <v/>
      </c>
      <c r="J36" s="186"/>
      <c r="K36" s="187" t="str">
        <f>IF($C36="","",VLOOKUP($C36,'분양가테이블(부가세기입X)'!$A$6:$AF$358,4,FALSE))</f>
        <v/>
      </c>
      <c r="L36" s="187"/>
      <c r="M36" s="187" t="str">
        <f>IF($C36="","",VLOOKUP($C36,'분양가테이블(부가세기입X)'!$A$6:$AF$358,5,FALSE))</f>
        <v/>
      </c>
      <c r="N36" s="187"/>
      <c r="O36" s="188" t="str">
        <f>IF($C36="","",VLOOKUP($C36,'분양가테이블(부가세기입X)'!$A$6:$AF$358,12,FALSE))</f>
        <v/>
      </c>
      <c r="P36" s="188"/>
      <c r="Q36" s="188" t="str">
        <f>IF($C36="","",VLOOKUP($C36,'분양가테이블(부가세기입X)'!$A$6:$AF$358,13,FALSE))</f>
        <v/>
      </c>
      <c r="R36" s="188"/>
      <c r="S36" s="188" t="str">
        <f>IF($C36="","",VLOOKUP($C36,'분양가테이블(부가세기입X)'!$A$6:$AF$358,6,FALSE))</f>
        <v/>
      </c>
      <c r="T36" s="188"/>
      <c r="U36" s="188" t="str">
        <f>IF($C36="","",VLOOKUP($C36,'분양가테이블(부가세기입X)'!$A$6:$AF$358,7,FALSE))</f>
        <v/>
      </c>
      <c r="V36" s="188"/>
      <c r="W36" s="177" t="str">
        <f>IF($C36="","",VLOOKUP($C36,'분양가테이블(부가세기입X)'!$A$6:$AF$358,22,FALSE))</f>
        <v/>
      </c>
      <c r="X36" s="177"/>
      <c r="Y36" s="177" t="str">
        <f>IF($C36="","",VLOOKUP($C36,'분양가테이블(부가세기입X)'!$A$6:$AF$358,3,FALSE))</f>
        <v/>
      </c>
      <c r="Z36" s="177"/>
      <c r="AA36" s="177" t="str">
        <f>IF($C36="","",VLOOKUP($C36,'분양가테이블(부가세기입X)'!$A$6:$AF$358,23,FALSE))</f>
        <v/>
      </c>
      <c r="AB36" s="177"/>
      <c r="AC36" s="177" t="str">
        <f>IF($C36="","",VLOOKUP($C36,'분양가테이블(부가세기입X)'!$A$6:$AF$358,3,FALSE))</f>
        <v/>
      </c>
      <c r="AD36" s="177"/>
      <c r="AE36" s="177" t="str">
        <f>IF($C36="","",VLOOKUP($C36,'분양가테이블(부가세기입X)'!$A$6:$AF$358,24,FALSE))</f>
        <v/>
      </c>
      <c r="AF36" s="177"/>
      <c r="AG36" s="177" t="str">
        <f>IF($C36="","",VLOOKUP($C36,'분양가테이블(부가세기입X)'!$A$6:$AF$358,3,FALSE))</f>
        <v/>
      </c>
      <c r="AH36" s="177"/>
      <c r="AI36" s="177" t="str">
        <f>IF($C36="","",VLOOKUP($C36,'분양가테이블(부가세기입X)'!$A$6:$AF$358,25,FALSE))</f>
        <v/>
      </c>
      <c r="AJ36" s="177"/>
      <c r="AK36" s="177" t="str">
        <f>IF($C36="","",VLOOKUP($C36,'분양가테이블(부가세기입X)'!$A$6:$AF$358,3,FALSE))</f>
        <v/>
      </c>
      <c r="AL36" s="177"/>
      <c r="AM36" s="178"/>
      <c r="AN36" s="178"/>
      <c r="AO36" s="178"/>
      <c r="AP36" s="178"/>
      <c r="AQ36" s="177" t="str">
        <f t="shared" si="0"/>
        <v/>
      </c>
      <c r="AR36" s="177"/>
      <c r="AS36" s="177" t="str">
        <f>IF($C36="","",VLOOKUP($C36,'분양가테이블(부가세기입X)'!$A$6:$AF$358,3,FALSE))</f>
        <v/>
      </c>
      <c r="AT36" s="177"/>
      <c r="AU36" s="179"/>
      <c r="AV36" s="179"/>
      <c r="AW36" s="179"/>
      <c r="AX36" s="179"/>
      <c r="AY36" s="2"/>
      <c r="AZ36" s="10"/>
      <c r="BA36" s="2"/>
      <c r="BB36" s="1"/>
    </row>
    <row r="37" spans="1:54" ht="39.950000000000003" customHeight="1" thickBot="1">
      <c r="A37" s="10"/>
      <c r="B37" s="2"/>
      <c r="C37" s="180"/>
      <c r="D37" s="181"/>
      <c r="E37" s="182" t="str">
        <f>IF($C37="","",VLOOKUP($C37,'분양가테이블(부가세기입X)'!$A$6:$AF$358,2,FALSE))</f>
        <v/>
      </c>
      <c r="F37" s="183"/>
      <c r="G37" s="183"/>
      <c r="H37" s="184"/>
      <c r="I37" s="185" t="str">
        <f>IF($C37="","",VLOOKUP($C37,'분양가테이블(부가세기입X)'!$A$6:$AF$358,3,FALSE))</f>
        <v/>
      </c>
      <c r="J37" s="186"/>
      <c r="K37" s="187" t="str">
        <f>IF($C37="","",VLOOKUP($C37,'분양가테이블(부가세기입X)'!$A$6:$AF$358,4,FALSE))</f>
        <v/>
      </c>
      <c r="L37" s="187"/>
      <c r="M37" s="187" t="str">
        <f>IF($C37="","",VLOOKUP($C37,'분양가테이블(부가세기입X)'!$A$6:$AF$358,5,FALSE))</f>
        <v/>
      </c>
      <c r="N37" s="187"/>
      <c r="O37" s="188" t="str">
        <f>IF($C37="","",VLOOKUP($C37,'분양가테이블(부가세기입X)'!$A$6:$AF$358,12,FALSE))</f>
        <v/>
      </c>
      <c r="P37" s="188"/>
      <c r="Q37" s="188" t="str">
        <f>IF($C37="","",VLOOKUP($C37,'분양가테이블(부가세기입X)'!$A$6:$AF$358,13,FALSE))</f>
        <v/>
      </c>
      <c r="R37" s="188"/>
      <c r="S37" s="188" t="str">
        <f>IF($C37="","",VLOOKUP($C37,'분양가테이블(부가세기입X)'!$A$6:$AF$358,6,FALSE))</f>
        <v/>
      </c>
      <c r="T37" s="188"/>
      <c r="U37" s="188" t="str">
        <f>IF($C37="","",VLOOKUP($C37,'분양가테이블(부가세기입X)'!$A$6:$AF$358,7,FALSE))</f>
        <v/>
      </c>
      <c r="V37" s="188"/>
      <c r="W37" s="177" t="str">
        <f>IF($C37="","",VLOOKUP($C37,'분양가테이블(부가세기입X)'!$A$6:$AF$358,22,FALSE))</f>
        <v/>
      </c>
      <c r="X37" s="177"/>
      <c r="Y37" s="177" t="str">
        <f>IF($C37="","",VLOOKUP($C37,'분양가테이블(부가세기입X)'!$A$6:$AF$358,3,FALSE))</f>
        <v/>
      </c>
      <c r="Z37" s="177"/>
      <c r="AA37" s="177" t="str">
        <f>IF($C37="","",VLOOKUP($C37,'분양가테이블(부가세기입X)'!$A$6:$AF$358,23,FALSE))</f>
        <v/>
      </c>
      <c r="AB37" s="177"/>
      <c r="AC37" s="177" t="str">
        <f>IF($C37="","",VLOOKUP($C37,'분양가테이블(부가세기입X)'!$A$6:$AF$358,3,FALSE))</f>
        <v/>
      </c>
      <c r="AD37" s="177"/>
      <c r="AE37" s="177" t="str">
        <f>IF($C37="","",VLOOKUP($C37,'분양가테이블(부가세기입X)'!$A$6:$AF$358,24,FALSE))</f>
        <v/>
      </c>
      <c r="AF37" s="177"/>
      <c r="AG37" s="177" t="str">
        <f>IF($C37="","",VLOOKUP($C37,'분양가테이블(부가세기입X)'!$A$6:$AF$358,3,FALSE))</f>
        <v/>
      </c>
      <c r="AH37" s="177"/>
      <c r="AI37" s="177" t="str">
        <f>IF($C37="","",VLOOKUP($C37,'분양가테이블(부가세기입X)'!$A$6:$AF$358,25,FALSE))</f>
        <v/>
      </c>
      <c r="AJ37" s="177"/>
      <c r="AK37" s="177" t="str">
        <f>IF($C37="","",VLOOKUP($C37,'분양가테이블(부가세기입X)'!$A$6:$AF$358,3,FALSE))</f>
        <v/>
      </c>
      <c r="AL37" s="177"/>
      <c r="AM37" s="178"/>
      <c r="AN37" s="178"/>
      <c r="AO37" s="178"/>
      <c r="AP37" s="178"/>
      <c r="AQ37" s="177" t="str">
        <f t="shared" si="0"/>
        <v/>
      </c>
      <c r="AR37" s="177"/>
      <c r="AS37" s="177" t="str">
        <f>IF($C37="","",VLOOKUP($C37,'분양가테이블(부가세기입X)'!$A$6:$AF$358,3,FALSE))</f>
        <v/>
      </c>
      <c r="AT37" s="177"/>
      <c r="AU37" s="179"/>
      <c r="AV37" s="179"/>
      <c r="AW37" s="179"/>
      <c r="AX37" s="179"/>
      <c r="AY37" s="2"/>
      <c r="AZ37" s="10"/>
      <c r="BA37" s="2"/>
      <c r="BB37" s="1"/>
    </row>
    <row r="38" spans="1:54" ht="39.950000000000003" customHeight="1" thickBot="1">
      <c r="A38" s="10"/>
      <c r="B38" s="2"/>
      <c r="C38" s="212" t="s">
        <v>346</v>
      </c>
      <c r="D38" s="213"/>
      <c r="E38" s="213"/>
      <c r="F38" s="213"/>
      <c r="G38" s="213"/>
      <c r="H38" s="213"/>
      <c r="I38" s="213"/>
      <c r="J38" s="214"/>
      <c r="K38" s="215">
        <f>SUM(K10:L37)</f>
        <v>296.54000000000002</v>
      </c>
      <c r="L38" s="215"/>
      <c r="M38" s="215">
        <f>SUM(M10:N37)</f>
        <v>89.70335</v>
      </c>
      <c r="N38" s="215"/>
      <c r="O38" s="215">
        <f>SUM(O10:P37)</f>
        <v>350.42</v>
      </c>
      <c r="P38" s="215"/>
      <c r="Q38" s="215">
        <f>SUM(Q10:R37)</f>
        <v>106.00205</v>
      </c>
      <c r="R38" s="215"/>
      <c r="S38" s="215">
        <f>SUM(S10:T37)</f>
        <v>646.96</v>
      </c>
      <c r="T38" s="215"/>
      <c r="U38" s="215">
        <f>SUM(U10:V37)</f>
        <v>195.70539999999997</v>
      </c>
      <c r="V38" s="215"/>
      <c r="W38" s="216">
        <f>SUM(W10:Z37)</f>
        <v>4337400000</v>
      </c>
      <c r="X38" s="216"/>
      <c r="Y38" s="216"/>
      <c r="Z38" s="216"/>
      <c r="AA38" s="216">
        <f>SUM(AA10:AD37)</f>
        <v>238557000.00000003</v>
      </c>
      <c r="AB38" s="216"/>
      <c r="AC38" s="216"/>
      <c r="AD38" s="216"/>
      <c r="AE38" s="216">
        <f>SUM(AE10:AH37)</f>
        <v>4575957000</v>
      </c>
      <c r="AF38" s="216"/>
      <c r="AG38" s="216"/>
      <c r="AH38" s="216"/>
      <c r="AI38" s="216">
        <f>SUM(AI10:AL37)</f>
        <v>457595700</v>
      </c>
      <c r="AJ38" s="216"/>
      <c r="AK38" s="216"/>
      <c r="AL38" s="216"/>
      <c r="AM38" s="216">
        <f>SUM(AM10:AP37)</f>
        <v>0</v>
      </c>
      <c r="AN38" s="216"/>
      <c r="AO38" s="216"/>
      <c r="AP38" s="216"/>
      <c r="AQ38" s="216">
        <f>SUM(AQ10:AT37)</f>
        <v>457595700</v>
      </c>
      <c r="AR38" s="216"/>
      <c r="AS38" s="216"/>
      <c r="AT38" s="216"/>
      <c r="AU38" s="217" t="s">
        <v>33</v>
      </c>
      <c r="AV38" s="217"/>
      <c r="AW38" s="217"/>
      <c r="AX38" s="218"/>
      <c r="AY38" s="2"/>
      <c r="AZ38" s="10"/>
      <c r="BA38" s="2"/>
      <c r="BB38" s="1"/>
    </row>
    <row r="39" spans="1:54" ht="39.950000000000003" customHeight="1">
      <c r="A39" s="10"/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2"/>
      <c r="AZ39" s="10"/>
      <c r="BA39" s="2"/>
      <c r="BB39" s="1"/>
    </row>
    <row r="40" spans="1:54" ht="39.950000000000003" customHeight="1">
      <c r="A40" s="10"/>
      <c r="B40" s="2"/>
      <c r="C40" s="50" t="s">
        <v>64</v>
      </c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210" t="s">
        <v>51</v>
      </c>
      <c r="W40" s="211"/>
      <c r="X40" s="211"/>
      <c r="Y40" s="211"/>
      <c r="Z40" s="51"/>
      <c r="AA40" s="51"/>
      <c r="AB40" s="50" t="s">
        <v>65</v>
      </c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210" t="s">
        <v>51</v>
      </c>
      <c r="AV40" s="211"/>
      <c r="AW40" s="211"/>
      <c r="AX40" s="211"/>
      <c r="AY40" s="2"/>
      <c r="AZ40" s="10"/>
      <c r="BA40" s="2"/>
      <c r="BB40" s="1"/>
    </row>
    <row r="41" spans="1:54" ht="39.950000000000003" customHeight="1">
      <c r="A41" s="10"/>
      <c r="B41" s="2"/>
      <c r="C41" s="191" t="s">
        <v>3</v>
      </c>
      <c r="D41" s="191"/>
      <c r="E41" s="191"/>
      <c r="F41" s="191"/>
      <c r="G41" s="191" t="s">
        <v>23</v>
      </c>
      <c r="H41" s="191"/>
      <c r="I41" s="191" t="s">
        <v>24</v>
      </c>
      <c r="J41" s="191"/>
      <c r="K41" s="191"/>
      <c r="L41" s="191"/>
      <c r="M41" s="191" t="s">
        <v>8</v>
      </c>
      <c r="N41" s="191"/>
      <c r="O41" s="191"/>
      <c r="P41" s="191"/>
      <c r="Q41" s="191" t="s">
        <v>1</v>
      </c>
      <c r="R41" s="191"/>
      <c r="S41" s="191"/>
      <c r="T41" s="191"/>
      <c r="U41" s="191" t="s">
        <v>16</v>
      </c>
      <c r="V41" s="191"/>
      <c r="W41" s="191"/>
      <c r="X41" s="191"/>
      <c r="Y41" s="191"/>
      <c r="Z41" s="51"/>
      <c r="AA41" s="51"/>
      <c r="AB41" s="205" t="s">
        <v>3</v>
      </c>
      <c r="AC41" s="206"/>
      <c r="AD41" s="206"/>
      <c r="AE41" s="207"/>
      <c r="AF41" s="205" t="s">
        <v>23</v>
      </c>
      <c r="AG41" s="207"/>
      <c r="AH41" s="205" t="s">
        <v>24</v>
      </c>
      <c r="AI41" s="206"/>
      <c r="AJ41" s="206"/>
      <c r="AK41" s="207"/>
      <c r="AL41" s="205" t="s">
        <v>25</v>
      </c>
      <c r="AM41" s="206"/>
      <c r="AN41" s="206"/>
      <c r="AO41" s="206"/>
      <c r="AP41" s="207"/>
      <c r="AQ41" s="205" t="s">
        <v>26</v>
      </c>
      <c r="AR41" s="206"/>
      <c r="AS41" s="206"/>
      <c r="AT41" s="207"/>
      <c r="AU41" s="205" t="s">
        <v>2</v>
      </c>
      <c r="AV41" s="206"/>
      <c r="AW41" s="206"/>
      <c r="AX41" s="207"/>
      <c r="AY41" s="2"/>
      <c r="AZ41" s="10"/>
      <c r="BA41" s="2"/>
      <c r="BB41" s="1"/>
    </row>
    <row r="42" spans="1:54" ht="39.950000000000003" customHeight="1">
      <c r="A42" s="10"/>
      <c r="B42" s="2"/>
      <c r="C42" s="191" t="s">
        <v>11</v>
      </c>
      <c r="D42" s="191"/>
      <c r="E42" s="191"/>
      <c r="F42" s="191"/>
      <c r="G42" s="200">
        <v>0.1</v>
      </c>
      <c r="H42" s="190"/>
      <c r="I42" s="190" t="s">
        <v>30</v>
      </c>
      <c r="J42" s="190"/>
      <c r="K42" s="190"/>
      <c r="L42" s="190"/>
      <c r="M42" s="201">
        <f>W38*10%</f>
        <v>433740000</v>
      </c>
      <c r="N42" s="201"/>
      <c r="O42" s="201"/>
      <c r="P42" s="201"/>
      <c r="Q42" s="201">
        <f>AA38*10%</f>
        <v>23855700.000000004</v>
      </c>
      <c r="R42" s="201"/>
      <c r="S42" s="201"/>
      <c r="T42" s="201"/>
      <c r="U42" s="202">
        <f>M42+Q42</f>
        <v>457595700</v>
      </c>
      <c r="V42" s="203"/>
      <c r="W42" s="203"/>
      <c r="X42" s="203"/>
      <c r="Y42" s="204"/>
      <c r="Z42" s="51"/>
      <c r="AA42" s="51"/>
      <c r="AB42" s="205" t="s">
        <v>45</v>
      </c>
      <c r="AC42" s="206"/>
      <c r="AD42" s="206"/>
      <c r="AE42" s="207"/>
      <c r="AF42" s="208">
        <v>1</v>
      </c>
      <c r="AG42" s="209"/>
      <c r="AH42" s="197" t="s">
        <v>33</v>
      </c>
      <c r="AI42" s="198"/>
      <c r="AJ42" s="198"/>
      <c r="AK42" s="199"/>
      <c r="AL42" s="197"/>
      <c r="AM42" s="198"/>
      <c r="AN42" s="198"/>
      <c r="AO42" s="198"/>
      <c r="AP42" s="199"/>
      <c r="AQ42" s="197"/>
      <c r="AR42" s="198"/>
      <c r="AS42" s="198"/>
      <c r="AT42" s="199"/>
      <c r="AU42" s="197"/>
      <c r="AV42" s="198"/>
      <c r="AW42" s="198"/>
      <c r="AX42" s="199"/>
      <c r="AY42" s="2"/>
      <c r="AZ42" s="10"/>
      <c r="BA42" s="2"/>
      <c r="BB42" s="1"/>
    </row>
    <row r="43" spans="1:54" ht="39.950000000000003" customHeight="1">
      <c r="A43" s="10"/>
      <c r="B43" s="2"/>
      <c r="C43" s="191" t="s">
        <v>27</v>
      </c>
      <c r="D43" s="191"/>
      <c r="E43" s="191"/>
      <c r="F43" s="191"/>
      <c r="G43" s="200" t="s">
        <v>33</v>
      </c>
      <c r="H43" s="190"/>
      <c r="I43" s="190" t="s">
        <v>33</v>
      </c>
      <c r="J43" s="190"/>
      <c r="K43" s="190"/>
      <c r="L43" s="190"/>
      <c r="M43" s="190" t="s">
        <v>33</v>
      </c>
      <c r="N43" s="190"/>
      <c r="O43" s="190"/>
      <c r="P43" s="190"/>
      <c r="Q43" s="190" t="s">
        <v>33</v>
      </c>
      <c r="R43" s="190"/>
      <c r="S43" s="190"/>
      <c r="T43" s="190"/>
      <c r="U43" s="202" t="s">
        <v>435</v>
      </c>
      <c r="V43" s="203"/>
      <c r="W43" s="203"/>
      <c r="X43" s="203"/>
      <c r="Y43" s="204"/>
      <c r="Z43" s="51"/>
      <c r="AA43" s="51"/>
      <c r="AB43" s="205" t="s">
        <v>11</v>
      </c>
      <c r="AC43" s="206"/>
      <c r="AD43" s="206"/>
      <c r="AE43" s="207"/>
      <c r="AF43" s="208">
        <v>0.1</v>
      </c>
      <c r="AG43" s="209"/>
      <c r="AH43" s="197" t="s">
        <v>30</v>
      </c>
      <c r="AI43" s="198"/>
      <c r="AJ43" s="198"/>
      <c r="AK43" s="199"/>
      <c r="AL43" s="197"/>
      <c r="AM43" s="198"/>
      <c r="AN43" s="198"/>
      <c r="AO43" s="198"/>
      <c r="AP43" s="199"/>
      <c r="AQ43" s="197"/>
      <c r="AR43" s="198"/>
      <c r="AS43" s="198"/>
      <c r="AT43" s="199"/>
      <c r="AU43" s="197"/>
      <c r="AV43" s="198"/>
      <c r="AW43" s="198"/>
      <c r="AX43" s="199"/>
      <c r="AY43" s="2"/>
      <c r="AZ43" s="10"/>
      <c r="BA43" s="2"/>
      <c r="BB43" s="1"/>
    </row>
    <row r="44" spans="1:54" ht="39.950000000000003" customHeight="1">
      <c r="A44" s="10"/>
      <c r="B44" s="2"/>
      <c r="C44" s="191" t="s">
        <v>28</v>
      </c>
      <c r="D44" s="191"/>
      <c r="E44" s="191"/>
      <c r="F44" s="191"/>
      <c r="G44" s="200">
        <v>0.9</v>
      </c>
      <c r="H44" s="190"/>
      <c r="I44" s="190" t="s">
        <v>32</v>
      </c>
      <c r="J44" s="190"/>
      <c r="K44" s="190"/>
      <c r="L44" s="190"/>
      <c r="M44" s="201">
        <f>W38*90%</f>
        <v>3903660000</v>
      </c>
      <c r="N44" s="201"/>
      <c r="O44" s="201"/>
      <c r="P44" s="201"/>
      <c r="Q44" s="201">
        <f>AA38*90%</f>
        <v>214701300.00000003</v>
      </c>
      <c r="R44" s="201"/>
      <c r="S44" s="201"/>
      <c r="T44" s="201"/>
      <c r="U44" s="202">
        <f>M44+Q44</f>
        <v>4118361300</v>
      </c>
      <c r="V44" s="203"/>
      <c r="W44" s="203"/>
      <c r="X44" s="203"/>
      <c r="Y44" s="204"/>
      <c r="Z44" s="51"/>
      <c r="AA44" s="51"/>
      <c r="AB44" s="205" t="s">
        <v>27</v>
      </c>
      <c r="AC44" s="206"/>
      <c r="AD44" s="206"/>
      <c r="AE44" s="207"/>
      <c r="AF44" s="208" t="s">
        <v>33</v>
      </c>
      <c r="AG44" s="209"/>
      <c r="AH44" s="197" t="s">
        <v>71</v>
      </c>
      <c r="AI44" s="198"/>
      <c r="AJ44" s="198"/>
      <c r="AK44" s="198"/>
      <c r="AL44" s="198"/>
      <c r="AM44" s="198"/>
      <c r="AN44" s="198"/>
      <c r="AO44" s="198"/>
      <c r="AP44" s="198"/>
      <c r="AQ44" s="198"/>
      <c r="AR44" s="198"/>
      <c r="AS44" s="198"/>
      <c r="AT44" s="198"/>
      <c r="AU44" s="198"/>
      <c r="AV44" s="198"/>
      <c r="AW44" s="198"/>
      <c r="AX44" s="199"/>
      <c r="AY44" s="2"/>
      <c r="AZ44" s="10"/>
      <c r="BA44" s="2"/>
      <c r="BB44" s="1"/>
    </row>
    <row r="45" spans="1:54" ht="39.950000000000003" customHeight="1">
      <c r="A45" s="10"/>
      <c r="B45" s="2"/>
      <c r="C45" s="191" t="s">
        <v>29</v>
      </c>
      <c r="D45" s="191"/>
      <c r="E45" s="191"/>
      <c r="F45" s="191"/>
      <c r="G45" s="200">
        <v>1</v>
      </c>
      <c r="H45" s="190"/>
      <c r="I45" s="190" t="s">
        <v>33</v>
      </c>
      <c r="J45" s="190"/>
      <c r="K45" s="190"/>
      <c r="L45" s="190"/>
      <c r="M45" s="201">
        <f>W38</f>
        <v>4337400000</v>
      </c>
      <c r="N45" s="201"/>
      <c r="O45" s="201"/>
      <c r="P45" s="201"/>
      <c r="Q45" s="201">
        <f>AA38</f>
        <v>238557000.00000003</v>
      </c>
      <c r="R45" s="201"/>
      <c r="S45" s="201"/>
      <c r="T45" s="201"/>
      <c r="U45" s="202">
        <f>M45+Q45</f>
        <v>4575957000</v>
      </c>
      <c r="V45" s="203"/>
      <c r="W45" s="203"/>
      <c r="X45" s="203"/>
      <c r="Y45" s="204"/>
      <c r="Z45" s="51"/>
      <c r="AA45" s="51"/>
      <c r="AB45" s="205" t="s">
        <v>28</v>
      </c>
      <c r="AC45" s="206"/>
      <c r="AD45" s="206"/>
      <c r="AE45" s="207"/>
      <c r="AF45" s="208">
        <v>0.9</v>
      </c>
      <c r="AG45" s="209"/>
      <c r="AH45" s="197" t="s">
        <v>32</v>
      </c>
      <c r="AI45" s="198"/>
      <c r="AJ45" s="198"/>
      <c r="AK45" s="199"/>
      <c r="AL45" s="197"/>
      <c r="AM45" s="198"/>
      <c r="AN45" s="198"/>
      <c r="AO45" s="198"/>
      <c r="AP45" s="199"/>
      <c r="AQ45" s="197"/>
      <c r="AR45" s="198"/>
      <c r="AS45" s="198"/>
      <c r="AT45" s="199"/>
      <c r="AU45" s="197"/>
      <c r="AV45" s="198"/>
      <c r="AW45" s="198"/>
      <c r="AX45" s="199"/>
      <c r="AY45" s="2"/>
      <c r="AZ45" s="10"/>
      <c r="BA45" s="2"/>
      <c r="BB45" s="1"/>
    </row>
    <row r="46" spans="1:54" ht="39.950000000000003" customHeight="1">
      <c r="A46" s="10"/>
      <c r="B46" s="2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2"/>
      <c r="AZ46" s="10"/>
      <c r="BA46" s="2"/>
      <c r="BB46" s="1"/>
    </row>
    <row r="47" spans="1:54" ht="39.950000000000003" customHeight="1">
      <c r="A47" s="10"/>
      <c r="B47" s="2"/>
      <c r="C47" s="50" t="s">
        <v>66</v>
      </c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0" t="s">
        <v>67</v>
      </c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2"/>
      <c r="AZ47" s="10"/>
      <c r="BA47" s="2"/>
      <c r="BB47" s="1"/>
    </row>
    <row r="48" spans="1:54" ht="39.950000000000003" customHeight="1">
      <c r="A48" s="10"/>
      <c r="B48" s="2"/>
      <c r="C48" s="191" t="s">
        <v>36</v>
      </c>
      <c r="D48" s="191"/>
      <c r="E48" s="191"/>
      <c r="F48" s="191"/>
      <c r="G48" s="191" t="s">
        <v>37</v>
      </c>
      <c r="H48" s="191"/>
      <c r="I48" s="191"/>
      <c r="J48" s="191"/>
      <c r="K48" s="191"/>
      <c r="L48" s="191"/>
      <c r="M48" s="191"/>
      <c r="N48" s="191"/>
      <c r="O48" s="191"/>
      <c r="P48" s="191" t="s">
        <v>38</v>
      </c>
      <c r="Q48" s="191"/>
      <c r="R48" s="191"/>
      <c r="S48" s="191"/>
      <c r="T48" s="191"/>
      <c r="U48" s="51"/>
      <c r="V48" s="51"/>
      <c r="W48" s="191" t="s">
        <v>39</v>
      </c>
      <c r="X48" s="191"/>
      <c r="Y48" s="191"/>
      <c r="Z48" s="191"/>
      <c r="AA48" s="191"/>
      <c r="AB48" s="192" t="s">
        <v>363</v>
      </c>
      <c r="AC48" s="193"/>
      <c r="AD48" s="193"/>
      <c r="AE48" s="193"/>
      <c r="AF48" s="193"/>
      <c r="AG48" s="193"/>
      <c r="AH48" s="193"/>
      <c r="AI48" s="193"/>
      <c r="AJ48" s="193"/>
      <c r="AK48" s="193"/>
      <c r="AL48" s="193"/>
      <c r="AM48" s="193"/>
      <c r="AN48" s="193"/>
      <c r="AO48" s="193"/>
      <c r="AP48" s="193"/>
      <c r="AQ48" s="193"/>
      <c r="AR48" s="193"/>
      <c r="AS48" s="193"/>
      <c r="AT48" s="193"/>
      <c r="AU48" s="193"/>
      <c r="AV48" s="193"/>
      <c r="AW48" s="193"/>
      <c r="AX48" s="193"/>
      <c r="AY48" s="2"/>
      <c r="AZ48" s="10"/>
      <c r="BA48" s="2"/>
      <c r="BB48" s="1"/>
    </row>
    <row r="49" spans="1:54" ht="39.950000000000003" customHeight="1">
      <c r="A49" s="10"/>
      <c r="B49" s="2"/>
      <c r="C49" s="194" t="s">
        <v>352</v>
      </c>
      <c r="D49" s="194"/>
      <c r="E49" s="194"/>
      <c r="F49" s="194"/>
      <c r="G49" s="195" t="s">
        <v>353</v>
      </c>
      <c r="H49" s="195"/>
      <c r="I49" s="195"/>
      <c r="J49" s="195"/>
      <c r="K49" s="195"/>
      <c r="L49" s="195"/>
      <c r="M49" s="195"/>
      <c r="N49" s="195"/>
      <c r="O49" s="195"/>
      <c r="P49" s="196" t="s">
        <v>75</v>
      </c>
      <c r="Q49" s="196"/>
      <c r="R49" s="196"/>
      <c r="S49" s="196"/>
      <c r="T49" s="196"/>
      <c r="U49" s="51"/>
      <c r="V49" s="51"/>
      <c r="W49" s="191"/>
      <c r="X49" s="191"/>
      <c r="Y49" s="191"/>
      <c r="Z49" s="191"/>
      <c r="AA49" s="191"/>
      <c r="AB49" s="193"/>
      <c r="AC49" s="193"/>
      <c r="AD49" s="193"/>
      <c r="AE49" s="193"/>
      <c r="AF49" s="193"/>
      <c r="AG49" s="193"/>
      <c r="AH49" s="193"/>
      <c r="AI49" s="193"/>
      <c r="AJ49" s="193"/>
      <c r="AK49" s="193"/>
      <c r="AL49" s="193"/>
      <c r="AM49" s="193"/>
      <c r="AN49" s="193"/>
      <c r="AO49" s="193"/>
      <c r="AP49" s="193"/>
      <c r="AQ49" s="193"/>
      <c r="AR49" s="193"/>
      <c r="AS49" s="193"/>
      <c r="AT49" s="193"/>
      <c r="AU49" s="193"/>
      <c r="AV49" s="193"/>
      <c r="AW49" s="193"/>
      <c r="AX49" s="193"/>
      <c r="AY49" s="2"/>
      <c r="AZ49" s="10"/>
      <c r="BA49" s="2"/>
      <c r="BB49" s="1"/>
    </row>
    <row r="50" spans="1:54" ht="39.950000000000003" customHeight="1">
      <c r="A50" s="10"/>
      <c r="B50" s="2"/>
      <c r="C50" s="194"/>
      <c r="D50" s="194"/>
      <c r="E50" s="194"/>
      <c r="F50" s="194"/>
      <c r="G50" s="195"/>
      <c r="H50" s="195"/>
      <c r="I50" s="195"/>
      <c r="J50" s="195"/>
      <c r="K50" s="195"/>
      <c r="L50" s="195"/>
      <c r="M50" s="195"/>
      <c r="N50" s="195"/>
      <c r="O50" s="195"/>
      <c r="P50" s="196"/>
      <c r="Q50" s="196"/>
      <c r="R50" s="196"/>
      <c r="S50" s="196"/>
      <c r="T50" s="196"/>
      <c r="U50" s="51"/>
      <c r="V50" s="51"/>
      <c r="W50" s="191" t="s">
        <v>41</v>
      </c>
      <c r="X50" s="191"/>
      <c r="Y50" s="191"/>
      <c r="Z50" s="191"/>
      <c r="AA50" s="191"/>
      <c r="AB50" s="192" t="s">
        <v>364</v>
      </c>
      <c r="AC50" s="193"/>
      <c r="AD50" s="193"/>
      <c r="AE50" s="193"/>
      <c r="AF50" s="193"/>
      <c r="AG50" s="193"/>
      <c r="AH50" s="193"/>
      <c r="AI50" s="193"/>
      <c r="AJ50" s="193"/>
      <c r="AK50" s="193"/>
      <c r="AL50" s="193"/>
      <c r="AM50" s="193"/>
      <c r="AN50" s="193"/>
      <c r="AO50" s="193"/>
      <c r="AP50" s="193"/>
      <c r="AQ50" s="193"/>
      <c r="AR50" s="193"/>
      <c r="AS50" s="193"/>
      <c r="AT50" s="193"/>
      <c r="AU50" s="193"/>
      <c r="AV50" s="193"/>
      <c r="AW50" s="193"/>
      <c r="AX50" s="193"/>
      <c r="AY50" s="2"/>
      <c r="AZ50" s="10"/>
      <c r="BA50" s="2"/>
      <c r="BB50" s="1"/>
    </row>
    <row r="51" spans="1:54" ht="39.950000000000003" customHeight="1">
      <c r="A51" s="10"/>
      <c r="B51" s="2"/>
      <c r="C51" s="189" t="s">
        <v>42</v>
      </c>
      <c r="D51" s="189"/>
      <c r="E51" s="189"/>
      <c r="F51" s="189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9"/>
      <c r="R51" s="189"/>
      <c r="S51" s="189"/>
      <c r="T51" s="189"/>
      <c r="U51" s="51"/>
      <c r="V51" s="51"/>
      <c r="W51" s="191"/>
      <c r="X51" s="191"/>
      <c r="Y51" s="191"/>
      <c r="Z51" s="191"/>
      <c r="AA51" s="191"/>
      <c r="AB51" s="193"/>
      <c r="AC51" s="193"/>
      <c r="AD51" s="193"/>
      <c r="AE51" s="193"/>
      <c r="AF51" s="193"/>
      <c r="AG51" s="193"/>
      <c r="AH51" s="193"/>
      <c r="AI51" s="193"/>
      <c r="AJ51" s="193"/>
      <c r="AK51" s="193"/>
      <c r="AL51" s="193"/>
      <c r="AM51" s="193"/>
      <c r="AN51" s="193"/>
      <c r="AO51" s="193"/>
      <c r="AP51" s="193"/>
      <c r="AQ51" s="193"/>
      <c r="AR51" s="193"/>
      <c r="AS51" s="193"/>
      <c r="AT51" s="193"/>
      <c r="AU51" s="193"/>
      <c r="AV51" s="193"/>
      <c r="AW51" s="193"/>
      <c r="AX51" s="193"/>
      <c r="AY51" s="2"/>
      <c r="AZ51" s="10"/>
      <c r="BA51" s="2"/>
      <c r="BB51" s="1"/>
    </row>
    <row r="52" spans="1:54" ht="39.950000000000003" customHeight="1">
      <c r="A52" s="10"/>
      <c r="B52" s="2"/>
      <c r="C52" s="190" t="s">
        <v>43</v>
      </c>
      <c r="D52" s="190"/>
      <c r="E52" s="190"/>
      <c r="F52" s="190"/>
      <c r="G52" s="190"/>
      <c r="H52" s="190"/>
      <c r="I52" s="190"/>
      <c r="J52" s="190"/>
      <c r="K52" s="190"/>
      <c r="L52" s="190"/>
      <c r="M52" s="190"/>
      <c r="N52" s="190"/>
      <c r="O52" s="190"/>
      <c r="P52" s="190"/>
      <c r="Q52" s="190"/>
      <c r="R52" s="190"/>
      <c r="S52" s="190"/>
      <c r="T52" s="190"/>
      <c r="U52" s="51"/>
      <c r="V52" s="51"/>
      <c r="W52" s="191" t="s">
        <v>40</v>
      </c>
      <c r="X52" s="191"/>
      <c r="Y52" s="191"/>
      <c r="Z52" s="191"/>
      <c r="AA52" s="191"/>
      <c r="AB52" s="192" t="s">
        <v>365</v>
      </c>
      <c r="AC52" s="193"/>
      <c r="AD52" s="193"/>
      <c r="AE52" s="193"/>
      <c r="AF52" s="193"/>
      <c r="AG52" s="193"/>
      <c r="AH52" s="193"/>
      <c r="AI52" s="193"/>
      <c r="AJ52" s="193"/>
      <c r="AK52" s="193"/>
      <c r="AL52" s="193"/>
      <c r="AM52" s="193"/>
      <c r="AN52" s="193"/>
      <c r="AO52" s="193"/>
      <c r="AP52" s="193"/>
      <c r="AQ52" s="193"/>
      <c r="AR52" s="193"/>
      <c r="AS52" s="193"/>
      <c r="AT52" s="193"/>
      <c r="AU52" s="193"/>
      <c r="AV52" s="193"/>
      <c r="AW52" s="193"/>
      <c r="AX52" s="193"/>
      <c r="AY52" s="2"/>
      <c r="AZ52" s="10"/>
      <c r="BA52" s="2"/>
      <c r="BB52" s="1"/>
    </row>
    <row r="53" spans="1:54" ht="39.950000000000003" customHeight="1">
      <c r="A53" s="10"/>
      <c r="B53" s="2"/>
      <c r="C53" s="190"/>
      <c r="D53" s="190"/>
      <c r="E53" s="190"/>
      <c r="F53" s="190"/>
      <c r="G53" s="190"/>
      <c r="H53" s="190"/>
      <c r="I53" s="190"/>
      <c r="J53" s="190"/>
      <c r="K53" s="190"/>
      <c r="L53" s="190"/>
      <c r="M53" s="190"/>
      <c r="N53" s="190"/>
      <c r="O53" s="190"/>
      <c r="P53" s="190"/>
      <c r="Q53" s="190"/>
      <c r="R53" s="190"/>
      <c r="S53" s="190"/>
      <c r="T53" s="190"/>
      <c r="U53" s="51"/>
      <c r="V53" s="51"/>
      <c r="W53" s="191"/>
      <c r="X53" s="191"/>
      <c r="Y53" s="191"/>
      <c r="Z53" s="191"/>
      <c r="AA53" s="191"/>
      <c r="AB53" s="193"/>
      <c r="AC53" s="193"/>
      <c r="AD53" s="193"/>
      <c r="AE53" s="193"/>
      <c r="AF53" s="193"/>
      <c r="AG53" s="193"/>
      <c r="AH53" s="193"/>
      <c r="AI53" s="193"/>
      <c r="AJ53" s="193"/>
      <c r="AK53" s="193"/>
      <c r="AL53" s="193"/>
      <c r="AM53" s="193"/>
      <c r="AN53" s="193"/>
      <c r="AO53" s="193"/>
      <c r="AP53" s="193"/>
      <c r="AQ53" s="193"/>
      <c r="AR53" s="193"/>
      <c r="AS53" s="193"/>
      <c r="AT53" s="193"/>
      <c r="AU53" s="193"/>
      <c r="AV53" s="193"/>
      <c r="AW53" s="193"/>
      <c r="AX53" s="193"/>
      <c r="AY53" s="2"/>
      <c r="AZ53" s="10"/>
      <c r="BA53" s="2"/>
      <c r="BB53" s="1"/>
    </row>
    <row r="54" spans="1:54" ht="39.950000000000003" customHeight="1">
      <c r="A54" s="10"/>
      <c r="B54" s="2"/>
      <c r="C54" s="52" t="s">
        <v>46</v>
      </c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2" t="s">
        <v>74</v>
      </c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2"/>
      <c r="AZ54" s="10"/>
      <c r="BA54" s="2"/>
      <c r="BB54" s="1"/>
    </row>
    <row r="55" spans="1:54" ht="39.950000000000003" customHeight="1">
      <c r="A55" s="10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10"/>
      <c r="BA55" s="2"/>
      <c r="BB55" s="1"/>
    </row>
    <row r="56" spans="1:54" ht="46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"/>
      <c r="BB56" s="1"/>
    </row>
    <row r="57" spans="1:54" ht="46.5" customHeight="1">
      <c r="A57" s="6"/>
    </row>
    <row r="58" spans="1:54" ht="46.5" customHeight="1">
      <c r="A58" s="6"/>
    </row>
    <row r="59" spans="1:54" ht="46.5" customHeight="1">
      <c r="A59" s="6"/>
    </row>
    <row r="60" spans="1:54" ht="46.5" customHeight="1"/>
  </sheetData>
  <sheetProtection algorithmName="SHA-512" hashValue="Ih4NZcolnFbu1jkKBV0rAekBYDJFFv7AlU70df6Zi7qgsi1QfZofUuXhbQfwKpPVpzNbUQYbUigco8LGfMEV0A==" saltValue="Dv5RsFnVqVqrOEqoU4MzCA==" spinCount="100000" sheet="1" formatCells="0" formatColumns="0" formatRows="0" insertColumns="0" insertRows="0" insertHyperlinks="0" deleteColumns="0" deleteRows="0" sort="0" autoFilter="0" pivotTables="0"/>
  <mergeCells count="561">
    <mergeCell ref="AI7:AL8"/>
    <mergeCell ref="AV5:AX5"/>
    <mergeCell ref="AQ6:AT6"/>
    <mergeCell ref="AU6:AX6"/>
    <mergeCell ref="C7:D9"/>
    <mergeCell ref="E7:J9"/>
    <mergeCell ref="K7:V7"/>
    <mergeCell ref="W7:Z9"/>
    <mergeCell ref="AA7:AD9"/>
    <mergeCell ref="AE7:AH9"/>
    <mergeCell ref="AM7:AT7"/>
    <mergeCell ref="AU7:AX9"/>
    <mergeCell ref="K8:N8"/>
    <mergeCell ref="O8:R8"/>
    <mergeCell ref="S8:V8"/>
    <mergeCell ref="AM8:AP8"/>
    <mergeCell ref="AQ8:AT8"/>
    <mergeCell ref="K9:L9"/>
    <mergeCell ref="M9:N9"/>
    <mergeCell ref="AQ9:AT9"/>
    <mergeCell ref="O9:P9"/>
    <mergeCell ref="Q9:R9"/>
    <mergeCell ref="S9:T9"/>
    <mergeCell ref="U9:V9"/>
    <mergeCell ref="C10:D10"/>
    <mergeCell ref="E10:H10"/>
    <mergeCell ref="I10:J10"/>
    <mergeCell ref="K10:L10"/>
    <mergeCell ref="M10:N10"/>
    <mergeCell ref="O10:P10"/>
    <mergeCell ref="Q10:R10"/>
    <mergeCell ref="S10:T10"/>
    <mergeCell ref="U10:V10"/>
    <mergeCell ref="AI9:AL9"/>
    <mergeCell ref="AM9:AP9"/>
    <mergeCell ref="AU10:AX10"/>
    <mergeCell ref="C11:D11"/>
    <mergeCell ref="E11:H11"/>
    <mergeCell ref="I11:J11"/>
    <mergeCell ref="K11:L11"/>
    <mergeCell ref="M11:N11"/>
    <mergeCell ref="O11:P11"/>
    <mergeCell ref="Q11:R11"/>
    <mergeCell ref="S11:T11"/>
    <mergeCell ref="U11:V11"/>
    <mergeCell ref="W10:Z10"/>
    <mergeCell ref="AA10:AD10"/>
    <mergeCell ref="AE10:AH10"/>
    <mergeCell ref="AI10:AL10"/>
    <mergeCell ref="AM10:AP10"/>
    <mergeCell ref="AQ10:AT10"/>
    <mergeCell ref="AU11:AX11"/>
    <mergeCell ref="W11:Z11"/>
    <mergeCell ref="AA11:AD11"/>
    <mergeCell ref="AE11:AH11"/>
    <mergeCell ref="AI11:AL11"/>
    <mergeCell ref="AM11:AP11"/>
    <mergeCell ref="AU12:AX12"/>
    <mergeCell ref="C13:D13"/>
    <mergeCell ref="E13:H13"/>
    <mergeCell ref="I13:J13"/>
    <mergeCell ref="K13:L13"/>
    <mergeCell ref="M13:N13"/>
    <mergeCell ref="O13:P13"/>
    <mergeCell ref="Q13:R13"/>
    <mergeCell ref="S13:T13"/>
    <mergeCell ref="U13:V13"/>
    <mergeCell ref="W12:Z12"/>
    <mergeCell ref="AA12:AD12"/>
    <mergeCell ref="AE12:AH12"/>
    <mergeCell ref="AI12:AL12"/>
    <mergeCell ref="AM12:AP12"/>
    <mergeCell ref="AQ12:AT12"/>
    <mergeCell ref="AU13:AX13"/>
    <mergeCell ref="W13:Z13"/>
    <mergeCell ref="AA13:AD13"/>
    <mergeCell ref="AE13:AH13"/>
    <mergeCell ref="AI13:AL13"/>
    <mergeCell ref="AM13:AP13"/>
    <mergeCell ref="AQ13:AT13"/>
    <mergeCell ref="C12:D12"/>
    <mergeCell ref="E14:H14"/>
    <mergeCell ref="I14:J14"/>
    <mergeCell ref="K14:L14"/>
    <mergeCell ref="M14:N14"/>
    <mergeCell ref="O14:P14"/>
    <mergeCell ref="Q14:R14"/>
    <mergeCell ref="S14:T14"/>
    <mergeCell ref="U14:V14"/>
    <mergeCell ref="AQ11:AT11"/>
    <mergeCell ref="E12:H12"/>
    <mergeCell ref="I12:J12"/>
    <mergeCell ref="K12:L12"/>
    <mergeCell ref="M12:N12"/>
    <mergeCell ref="O12:P12"/>
    <mergeCell ref="Q12:R12"/>
    <mergeCell ref="S12:T12"/>
    <mergeCell ref="U12:V12"/>
    <mergeCell ref="AU14:AX14"/>
    <mergeCell ref="C15:D15"/>
    <mergeCell ref="E15:H15"/>
    <mergeCell ref="I15:J15"/>
    <mergeCell ref="K15:L15"/>
    <mergeCell ref="M15:N15"/>
    <mergeCell ref="O15:P15"/>
    <mergeCell ref="Q15:R15"/>
    <mergeCell ref="S15:T15"/>
    <mergeCell ref="U15:V15"/>
    <mergeCell ref="W14:Z14"/>
    <mergeCell ref="AA14:AD14"/>
    <mergeCell ref="AE14:AH14"/>
    <mergeCell ref="AI14:AL14"/>
    <mergeCell ref="AM14:AP14"/>
    <mergeCell ref="AQ14:AT14"/>
    <mergeCell ref="AU15:AX15"/>
    <mergeCell ref="W15:Z15"/>
    <mergeCell ref="AA15:AD15"/>
    <mergeCell ref="AE15:AH15"/>
    <mergeCell ref="AI15:AL15"/>
    <mergeCell ref="AM15:AP15"/>
    <mergeCell ref="AQ15:AT15"/>
    <mergeCell ref="C14:D14"/>
    <mergeCell ref="C16:D16"/>
    <mergeCell ref="E16:H16"/>
    <mergeCell ref="I16:J16"/>
    <mergeCell ref="K16:L16"/>
    <mergeCell ref="M16:N16"/>
    <mergeCell ref="O16:P16"/>
    <mergeCell ref="Q16:R16"/>
    <mergeCell ref="S16:T16"/>
    <mergeCell ref="U16:V16"/>
    <mergeCell ref="C17:D17"/>
    <mergeCell ref="E17:H17"/>
    <mergeCell ref="I17:J17"/>
    <mergeCell ref="K17:L17"/>
    <mergeCell ref="M17:N17"/>
    <mergeCell ref="O17:P17"/>
    <mergeCell ref="Q17:R17"/>
    <mergeCell ref="S17:T17"/>
    <mergeCell ref="U17:V17"/>
    <mergeCell ref="AU16:AX16"/>
    <mergeCell ref="W16:Z16"/>
    <mergeCell ref="AA16:AD16"/>
    <mergeCell ref="AE16:AH16"/>
    <mergeCell ref="AI16:AL16"/>
    <mergeCell ref="AM16:AP16"/>
    <mergeCell ref="AQ16:AT16"/>
    <mergeCell ref="AU17:AX17"/>
    <mergeCell ref="W17:Z17"/>
    <mergeCell ref="AA17:AD17"/>
    <mergeCell ref="AE17:AH17"/>
    <mergeCell ref="AI17:AL17"/>
    <mergeCell ref="AM17:AP17"/>
    <mergeCell ref="AQ17:AT17"/>
    <mergeCell ref="U19:V19"/>
    <mergeCell ref="E18:H18"/>
    <mergeCell ref="I18:J18"/>
    <mergeCell ref="K18:L18"/>
    <mergeCell ref="M18:N18"/>
    <mergeCell ref="O18:P18"/>
    <mergeCell ref="Q18:R18"/>
    <mergeCell ref="S18:T18"/>
    <mergeCell ref="U18:V18"/>
    <mergeCell ref="AA18:AD18"/>
    <mergeCell ref="AE18:AH18"/>
    <mergeCell ref="AI18:AL18"/>
    <mergeCell ref="AM18:AP18"/>
    <mergeCell ref="AQ18:AT18"/>
    <mergeCell ref="AU19:AX19"/>
    <mergeCell ref="W19:Z19"/>
    <mergeCell ref="AA19:AD19"/>
    <mergeCell ref="AE19:AH19"/>
    <mergeCell ref="AI19:AL19"/>
    <mergeCell ref="AM19:AP19"/>
    <mergeCell ref="AQ19:AT19"/>
    <mergeCell ref="AU18:AX18"/>
    <mergeCell ref="W18:Z18"/>
    <mergeCell ref="C18:D18"/>
    <mergeCell ref="C20:D20"/>
    <mergeCell ref="E20:H20"/>
    <mergeCell ref="I20:J20"/>
    <mergeCell ref="K20:L20"/>
    <mergeCell ref="M20:N20"/>
    <mergeCell ref="O20:P20"/>
    <mergeCell ref="Q20:R20"/>
    <mergeCell ref="S20:T20"/>
    <mergeCell ref="C19:D19"/>
    <mergeCell ref="E19:H19"/>
    <mergeCell ref="I19:J19"/>
    <mergeCell ref="K19:L19"/>
    <mergeCell ref="M19:N19"/>
    <mergeCell ref="O19:P19"/>
    <mergeCell ref="Q19:R19"/>
    <mergeCell ref="S19:T19"/>
    <mergeCell ref="AQ22:AT22"/>
    <mergeCell ref="AU22:AX22"/>
    <mergeCell ref="W23:Z23"/>
    <mergeCell ref="U20:V20"/>
    <mergeCell ref="C21:D21"/>
    <mergeCell ref="E21:H21"/>
    <mergeCell ref="I21:J21"/>
    <mergeCell ref="K21:L21"/>
    <mergeCell ref="M21:N21"/>
    <mergeCell ref="O21:P21"/>
    <mergeCell ref="Q21:R21"/>
    <mergeCell ref="S21:T21"/>
    <mergeCell ref="U21:V21"/>
    <mergeCell ref="C22:D22"/>
    <mergeCell ref="E22:H22"/>
    <mergeCell ref="I22:J22"/>
    <mergeCell ref="K22:L22"/>
    <mergeCell ref="M22:N22"/>
    <mergeCell ref="AU20:AX20"/>
    <mergeCell ref="W20:Z20"/>
    <mergeCell ref="AA20:AD20"/>
    <mergeCell ref="AE20:AH20"/>
    <mergeCell ref="AI20:AL20"/>
    <mergeCell ref="AM20:AP20"/>
    <mergeCell ref="AQ20:AT20"/>
    <mergeCell ref="W21:Z21"/>
    <mergeCell ref="AA21:AD21"/>
    <mergeCell ref="AE21:AH21"/>
    <mergeCell ref="AI21:AL21"/>
    <mergeCell ref="AM21:AP21"/>
    <mergeCell ref="AQ21:AT21"/>
    <mergeCell ref="AU21:AX21"/>
    <mergeCell ref="AE38:AH38"/>
    <mergeCell ref="AI38:AL38"/>
    <mergeCell ref="AM38:AP38"/>
    <mergeCell ref="AQ38:AT38"/>
    <mergeCell ref="AU38:AX38"/>
    <mergeCell ref="W22:Z22"/>
    <mergeCell ref="AA22:AD22"/>
    <mergeCell ref="AE22:AH22"/>
    <mergeCell ref="AI22:AL22"/>
    <mergeCell ref="AM22:AP22"/>
    <mergeCell ref="AA23:AD23"/>
    <mergeCell ref="AE23:AH23"/>
    <mergeCell ref="AI23:AL23"/>
    <mergeCell ref="AM23:AP23"/>
    <mergeCell ref="AQ23:AT23"/>
    <mergeCell ref="AU23:AX23"/>
    <mergeCell ref="V40:Y40"/>
    <mergeCell ref="AU40:AX40"/>
    <mergeCell ref="C38:J38"/>
    <mergeCell ref="K38:L38"/>
    <mergeCell ref="M38:N38"/>
    <mergeCell ref="O38:P38"/>
    <mergeCell ref="Q38:R38"/>
    <mergeCell ref="S38:T38"/>
    <mergeCell ref="U38:V38"/>
    <mergeCell ref="W38:Z38"/>
    <mergeCell ref="AA38:AD38"/>
    <mergeCell ref="AB41:AE41"/>
    <mergeCell ref="AF41:AG41"/>
    <mergeCell ref="AH41:AK41"/>
    <mergeCell ref="AL41:AP41"/>
    <mergeCell ref="AQ41:AT41"/>
    <mergeCell ref="AU41:AX41"/>
    <mergeCell ref="C41:F41"/>
    <mergeCell ref="G41:H41"/>
    <mergeCell ref="I41:L41"/>
    <mergeCell ref="M41:P41"/>
    <mergeCell ref="Q41:T41"/>
    <mergeCell ref="U41:Y41"/>
    <mergeCell ref="AL42:AP42"/>
    <mergeCell ref="AQ42:AT42"/>
    <mergeCell ref="AU42:AX42"/>
    <mergeCell ref="C42:F42"/>
    <mergeCell ref="G42:H42"/>
    <mergeCell ref="I42:L42"/>
    <mergeCell ref="M42:P42"/>
    <mergeCell ref="Q42:T42"/>
    <mergeCell ref="U42:Y42"/>
    <mergeCell ref="C43:F43"/>
    <mergeCell ref="G43:H43"/>
    <mergeCell ref="I43:L43"/>
    <mergeCell ref="M43:P43"/>
    <mergeCell ref="Q43:T43"/>
    <mergeCell ref="U43:Y43"/>
    <mergeCell ref="AB42:AE42"/>
    <mergeCell ref="AF42:AG42"/>
    <mergeCell ref="AH42:AK42"/>
    <mergeCell ref="AH44:AX44"/>
    <mergeCell ref="AB45:AE45"/>
    <mergeCell ref="AF45:AG45"/>
    <mergeCell ref="AH45:AK45"/>
    <mergeCell ref="AL45:AP45"/>
    <mergeCell ref="AQ45:AT45"/>
    <mergeCell ref="AB43:AE43"/>
    <mergeCell ref="AF43:AG43"/>
    <mergeCell ref="AH43:AK43"/>
    <mergeCell ref="AL43:AP43"/>
    <mergeCell ref="AQ43:AT43"/>
    <mergeCell ref="AU43:AX43"/>
    <mergeCell ref="Q45:T45"/>
    <mergeCell ref="U45:Y45"/>
    <mergeCell ref="AB44:AE44"/>
    <mergeCell ref="AF44:AG44"/>
    <mergeCell ref="C44:F44"/>
    <mergeCell ref="G44:H44"/>
    <mergeCell ref="I44:L44"/>
    <mergeCell ref="M44:P44"/>
    <mergeCell ref="Q44:T44"/>
    <mergeCell ref="U44:Y44"/>
    <mergeCell ref="U23:V23"/>
    <mergeCell ref="O22:P22"/>
    <mergeCell ref="Q22:R22"/>
    <mergeCell ref="S22:T22"/>
    <mergeCell ref="U22:V22"/>
    <mergeCell ref="C51:T51"/>
    <mergeCell ref="C52:T53"/>
    <mergeCell ref="W52:AA53"/>
    <mergeCell ref="AB52:AX53"/>
    <mergeCell ref="C48:F48"/>
    <mergeCell ref="G48:O48"/>
    <mergeCell ref="P48:T48"/>
    <mergeCell ref="W48:AA49"/>
    <mergeCell ref="AB48:AX49"/>
    <mergeCell ref="C49:F50"/>
    <mergeCell ref="G49:O50"/>
    <mergeCell ref="P49:T50"/>
    <mergeCell ref="W50:AA51"/>
    <mergeCell ref="AB50:AX51"/>
    <mergeCell ref="AU45:AX45"/>
    <mergeCell ref="C45:F45"/>
    <mergeCell ref="G45:H45"/>
    <mergeCell ref="I45:L45"/>
    <mergeCell ref="M45:P45"/>
    <mergeCell ref="W24:Z24"/>
    <mergeCell ref="AA24:AD24"/>
    <mergeCell ref="AE24:AH24"/>
    <mergeCell ref="AI24:AL24"/>
    <mergeCell ref="AM24:AP24"/>
    <mergeCell ref="AQ24:AT24"/>
    <mergeCell ref="AU24:AX24"/>
    <mergeCell ref="C23:D23"/>
    <mergeCell ref="E23:H23"/>
    <mergeCell ref="C24:D24"/>
    <mergeCell ref="E24:H24"/>
    <mergeCell ref="I24:J24"/>
    <mergeCell ref="K24:L24"/>
    <mergeCell ref="M24:N24"/>
    <mergeCell ref="O24:P24"/>
    <mergeCell ref="Q24:R24"/>
    <mergeCell ref="S24:T24"/>
    <mergeCell ref="U24:V24"/>
    <mergeCell ref="I23:J23"/>
    <mergeCell ref="K23:L23"/>
    <mergeCell ref="M23:N23"/>
    <mergeCell ref="O23:P23"/>
    <mergeCell ref="Q23:R23"/>
    <mergeCell ref="S23:T23"/>
    <mergeCell ref="AA25:AD25"/>
    <mergeCell ref="AE25:AH25"/>
    <mergeCell ref="AI25:AL25"/>
    <mergeCell ref="AM25:AP25"/>
    <mergeCell ref="AQ25:AT25"/>
    <mergeCell ref="AU25:AX25"/>
    <mergeCell ref="C26:D26"/>
    <mergeCell ref="E26:H26"/>
    <mergeCell ref="I26:J26"/>
    <mergeCell ref="K26:L26"/>
    <mergeCell ref="M26:N26"/>
    <mergeCell ref="O26:P26"/>
    <mergeCell ref="Q26:R26"/>
    <mergeCell ref="S26:T26"/>
    <mergeCell ref="U26:V26"/>
    <mergeCell ref="W26:Z26"/>
    <mergeCell ref="AA26:AD26"/>
    <mergeCell ref="AE26:AH26"/>
    <mergeCell ref="AI26:AL26"/>
    <mergeCell ref="AM26:AP26"/>
    <mergeCell ref="AQ26:AT26"/>
    <mergeCell ref="AU26:AX26"/>
    <mergeCell ref="C25:D25"/>
    <mergeCell ref="E25:H25"/>
    <mergeCell ref="I27:J27"/>
    <mergeCell ref="K27:L27"/>
    <mergeCell ref="M27:N27"/>
    <mergeCell ref="O27:P27"/>
    <mergeCell ref="Q27:R27"/>
    <mergeCell ref="S27:T27"/>
    <mergeCell ref="U27:V27"/>
    <mergeCell ref="W25:Z25"/>
    <mergeCell ref="I25:J25"/>
    <mergeCell ref="K25:L25"/>
    <mergeCell ref="M25:N25"/>
    <mergeCell ref="O25:P25"/>
    <mergeCell ref="Q25:R25"/>
    <mergeCell ref="S25:T25"/>
    <mergeCell ref="U25:V25"/>
    <mergeCell ref="W27:Z27"/>
    <mergeCell ref="AA27:AD27"/>
    <mergeCell ref="AE27:AH27"/>
    <mergeCell ref="AI27:AL27"/>
    <mergeCell ref="AM27:AP27"/>
    <mergeCell ref="AQ27:AT27"/>
    <mergeCell ref="AU27:AX27"/>
    <mergeCell ref="C28:D28"/>
    <mergeCell ref="E28:H28"/>
    <mergeCell ref="I28:J28"/>
    <mergeCell ref="K28:L28"/>
    <mergeCell ref="M28:N28"/>
    <mergeCell ref="O28:P28"/>
    <mergeCell ref="Q28:R28"/>
    <mergeCell ref="S28:T28"/>
    <mergeCell ref="U28:V28"/>
    <mergeCell ref="W28:Z28"/>
    <mergeCell ref="AA28:AD28"/>
    <mergeCell ref="AE28:AH28"/>
    <mergeCell ref="AI28:AL28"/>
    <mergeCell ref="AM28:AP28"/>
    <mergeCell ref="AQ28:AT28"/>
    <mergeCell ref="AU28:AX28"/>
    <mergeCell ref="C27:D27"/>
    <mergeCell ref="E27:H27"/>
    <mergeCell ref="AA29:AD29"/>
    <mergeCell ref="AE29:AH29"/>
    <mergeCell ref="AI29:AL29"/>
    <mergeCell ref="AM29:AP29"/>
    <mergeCell ref="AQ29:AT29"/>
    <mergeCell ref="AU29:AX29"/>
    <mergeCell ref="C30:D30"/>
    <mergeCell ref="E30:H30"/>
    <mergeCell ref="I30:J30"/>
    <mergeCell ref="K30:L30"/>
    <mergeCell ref="M30:N30"/>
    <mergeCell ref="O30:P30"/>
    <mergeCell ref="Q30:R30"/>
    <mergeCell ref="S30:T30"/>
    <mergeCell ref="U30:V30"/>
    <mergeCell ref="W30:Z30"/>
    <mergeCell ref="AA30:AD30"/>
    <mergeCell ref="AE30:AH30"/>
    <mergeCell ref="AI30:AL30"/>
    <mergeCell ref="AM30:AP30"/>
    <mergeCell ref="AQ30:AT30"/>
    <mergeCell ref="AU30:AX30"/>
    <mergeCell ref="C29:D29"/>
    <mergeCell ref="E29:H29"/>
    <mergeCell ref="I31:J31"/>
    <mergeCell ref="K31:L31"/>
    <mergeCell ref="M31:N31"/>
    <mergeCell ref="O31:P31"/>
    <mergeCell ref="Q31:R31"/>
    <mergeCell ref="S31:T31"/>
    <mergeCell ref="U31:V31"/>
    <mergeCell ref="W29:Z29"/>
    <mergeCell ref="I29:J29"/>
    <mergeCell ref="K29:L29"/>
    <mergeCell ref="M29:N29"/>
    <mergeCell ref="O29:P29"/>
    <mergeCell ref="Q29:R29"/>
    <mergeCell ref="S29:T29"/>
    <mergeCell ref="U29:V29"/>
    <mergeCell ref="W31:Z31"/>
    <mergeCell ref="AA31:AD31"/>
    <mergeCell ref="AE31:AH31"/>
    <mergeCell ref="AI31:AL31"/>
    <mergeCell ref="AM31:AP31"/>
    <mergeCell ref="AQ31:AT31"/>
    <mergeCell ref="AU31:AX31"/>
    <mergeCell ref="C32:D32"/>
    <mergeCell ref="E32:H32"/>
    <mergeCell ref="I32:J32"/>
    <mergeCell ref="K32:L32"/>
    <mergeCell ref="M32:N32"/>
    <mergeCell ref="O32:P32"/>
    <mergeCell ref="Q32:R32"/>
    <mergeCell ref="S32:T32"/>
    <mergeCell ref="U32:V32"/>
    <mergeCell ref="W32:Z32"/>
    <mergeCell ref="AA32:AD32"/>
    <mergeCell ref="AE32:AH32"/>
    <mergeCell ref="AI32:AL32"/>
    <mergeCell ref="AM32:AP32"/>
    <mergeCell ref="AQ32:AT32"/>
    <mergeCell ref="AU32:AX32"/>
    <mergeCell ref="C31:D31"/>
    <mergeCell ref="E31:H31"/>
    <mergeCell ref="AA33:AD33"/>
    <mergeCell ref="AE33:AH33"/>
    <mergeCell ref="AI33:AL33"/>
    <mergeCell ref="AM33:AP33"/>
    <mergeCell ref="AQ33:AT33"/>
    <mergeCell ref="AU33:AX33"/>
    <mergeCell ref="C34:D34"/>
    <mergeCell ref="E34:H34"/>
    <mergeCell ref="I34:J34"/>
    <mergeCell ref="K34:L34"/>
    <mergeCell ref="M34:N34"/>
    <mergeCell ref="O34:P34"/>
    <mergeCell ref="Q34:R34"/>
    <mergeCell ref="S34:T34"/>
    <mergeCell ref="U34:V34"/>
    <mergeCell ref="W34:Z34"/>
    <mergeCell ref="AA34:AD34"/>
    <mergeCell ref="AE34:AH34"/>
    <mergeCell ref="AI34:AL34"/>
    <mergeCell ref="AM34:AP34"/>
    <mergeCell ref="AQ34:AT34"/>
    <mergeCell ref="AU34:AX34"/>
    <mergeCell ref="C33:D33"/>
    <mergeCell ref="E33:H33"/>
    <mergeCell ref="I35:J35"/>
    <mergeCell ref="K35:L35"/>
    <mergeCell ref="M35:N35"/>
    <mergeCell ref="O35:P35"/>
    <mergeCell ref="Q35:R35"/>
    <mergeCell ref="S35:T35"/>
    <mergeCell ref="U35:V35"/>
    <mergeCell ref="W33:Z33"/>
    <mergeCell ref="I33:J33"/>
    <mergeCell ref="K33:L33"/>
    <mergeCell ref="M33:N33"/>
    <mergeCell ref="O33:P33"/>
    <mergeCell ref="Q33:R33"/>
    <mergeCell ref="S33:T33"/>
    <mergeCell ref="U33:V33"/>
    <mergeCell ref="W35:Z35"/>
    <mergeCell ref="AA35:AD35"/>
    <mergeCell ref="AE35:AH35"/>
    <mergeCell ref="AI35:AL35"/>
    <mergeCell ref="AM35:AP35"/>
    <mergeCell ref="AQ35:AT35"/>
    <mergeCell ref="AU35:AX35"/>
    <mergeCell ref="C36:D36"/>
    <mergeCell ref="E36:H36"/>
    <mergeCell ref="I36:J36"/>
    <mergeCell ref="K36:L36"/>
    <mergeCell ref="M36:N36"/>
    <mergeCell ref="O36:P36"/>
    <mergeCell ref="Q36:R36"/>
    <mergeCell ref="S36:T36"/>
    <mergeCell ref="U36:V36"/>
    <mergeCell ref="W36:Z36"/>
    <mergeCell ref="AA36:AD36"/>
    <mergeCell ref="AE36:AH36"/>
    <mergeCell ref="AI36:AL36"/>
    <mergeCell ref="AM36:AP36"/>
    <mergeCell ref="AQ36:AT36"/>
    <mergeCell ref="AU36:AX36"/>
    <mergeCell ref="C35:D35"/>
    <mergeCell ref="E35:H35"/>
    <mergeCell ref="W37:Z37"/>
    <mergeCell ref="AA37:AD37"/>
    <mergeCell ref="AE37:AH37"/>
    <mergeCell ref="AI37:AL37"/>
    <mergeCell ref="AM37:AP37"/>
    <mergeCell ref="AQ37:AT37"/>
    <mergeCell ref="AU37:AX37"/>
    <mergeCell ref="C37:D37"/>
    <mergeCell ref="E37:H37"/>
    <mergeCell ref="I37:J37"/>
    <mergeCell ref="K37:L37"/>
    <mergeCell ref="M37:N37"/>
    <mergeCell ref="O37:P37"/>
    <mergeCell ref="Q37:R37"/>
    <mergeCell ref="S37:T37"/>
    <mergeCell ref="U37:V37"/>
  </mergeCells>
  <phoneticPr fontId="6" type="noConversion"/>
  <printOptions horizontalCentered="1" verticalCentered="1"/>
  <pageMargins left="0" right="0" top="3.937007874015748E-2" bottom="0" header="0" footer="0"/>
  <pageSetup paperSize="9" scale="25" fitToHeight="0" orientation="landscape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BB58"/>
  <sheetViews>
    <sheetView tabSelected="1" view="pageBreakPreview" zoomScale="40" zoomScaleNormal="40" zoomScaleSheetLayoutView="40" zoomScalePageLayoutView="25" workbookViewId="0">
      <selection activeCell="AM10" sqref="AM10:AP10"/>
    </sheetView>
  </sheetViews>
  <sheetFormatPr defaultRowHeight="45"/>
  <cols>
    <col min="1" max="10" width="9.375" style="7" customWidth="1"/>
    <col min="11" max="22" width="11.625" style="7" customWidth="1"/>
    <col min="23" max="51" width="9.375" style="7" customWidth="1"/>
    <col min="52" max="52" width="8.5" style="7" customWidth="1"/>
    <col min="54" max="54" width="20.125" customWidth="1"/>
  </cols>
  <sheetData>
    <row r="1" spans="1:54" ht="46.5" customHeight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"/>
      <c r="BB1" s="1" t="s">
        <v>60</v>
      </c>
    </row>
    <row r="2" spans="1:54" ht="39.950000000000003" customHeight="1">
      <c r="A2" s="1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11"/>
      <c r="BA2" s="2"/>
      <c r="BB2" s="1" t="s">
        <v>61</v>
      </c>
    </row>
    <row r="3" spans="1:54" ht="39.950000000000003" customHeight="1">
      <c r="A3" s="1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11"/>
      <c r="BA3" s="2"/>
      <c r="BB3" s="1" t="s">
        <v>62</v>
      </c>
    </row>
    <row r="4" spans="1:54" ht="39.950000000000003" customHeight="1">
      <c r="A4" s="1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11"/>
      <c r="BA4" s="2"/>
      <c r="BB4" s="1"/>
    </row>
    <row r="5" spans="1:54" ht="39.950000000000003" customHeight="1">
      <c r="A5" s="1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3"/>
      <c r="AR5" s="3"/>
      <c r="AS5" s="3"/>
      <c r="AT5" s="8" t="s">
        <v>50</v>
      </c>
      <c r="AU5" s="8"/>
      <c r="AV5" s="321">
        <f ca="1">TODAY()</f>
        <v>45860</v>
      </c>
      <c r="AW5" s="321"/>
      <c r="AX5" s="321"/>
      <c r="AY5" s="2"/>
      <c r="AZ5" s="11"/>
      <c r="BA5" s="2"/>
      <c r="BB5" s="1"/>
    </row>
    <row r="6" spans="1:54" ht="46.5" customHeight="1">
      <c r="A6" s="11"/>
      <c r="B6" s="2"/>
      <c r="C6" s="53" t="s">
        <v>63</v>
      </c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269"/>
      <c r="AR6" s="269"/>
      <c r="AS6" s="269"/>
      <c r="AT6" s="269"/>
      <c r="AU6" s="268" t="s">
        <v>51</v>
      </c>
      <c r="AV6" s="269"/>
      <c r="AW6" s="269"/>
      <c r="AX6" s="269"/>
      <c r="AY6" s="2"/>
      <c r="AZ6" s="11"/>
      <c r="BA6" s="2"/>
      <c r="BB6" s="1"/>
    </row>
    <row r="7" spans="1:54" ht="33.75" customHeight="1">
      <c r="A7" s="11"/>
      <c r="B7" s="2"/>
      <c r="C7" s="303" t="s">
        <v>9</v>
      </c>
      <c r="D7" s="304"/>
      <c r="E7" s="303" t="s">
        <v>10</v>
      </c>
      <c r="F7" s="309"/>
      <c r="G7" s="309"/>
      <c r="H7" s="309"/>
      <c r="I7" s="309"/>
      <c r="J7" s="304"/>
      <c r="K7" s="312" t="s">
        <v>14</v>
      </c>
      <c r="L7" s="312"/>
      <c r="M7" s="312"/>
      <c r="N7" s="312"/>
      <c r="O7" s="312"/>
      <c r="P7" s="312"/>
      <c r="Q7" s="312"/>
      <c r="R7" s="312"/>
      <c r="S7" s="312"/>
      <c r="T7" s="312"/>
      <c r="U7" s="312"/>
      <c r="V7" s="312"/>
      <c r="W7" s="313" t="s">
        <v>68</v>
      </c>
      <c r="X7" s="312"/>
      <c r="Y7" s="312"/>
      <c r="Z7" s="312"/>
      <c r="AA7" s="312" t="s">
        <v>1</v>
      </c>
      <c r="AB7" s="312"/>
      <c r="AC7" s="312"/>
      <c r="AD7" s="312"/>
      <c r="AE7" s="313" t="s">
        <v>69</v>
      </c>
      <c r="AF7" s="312"/>
      <c r="AG7" s="312"/>
      <c r="AH7" s="312"/>
      <c r="AI7" s="315" t="s">
        <v>73</v>
      </c>
      <c r="AJ7" s="316"/>
      <c r="AK7" s="316"/>
      <c r="AL7" s="317"/>
      <c r="AM7" s="312" t="s">
        <v>12</v>
      </c>
      <c r="AN7" s="312"/>
      <c r="AO7" s="312"/>
      <c r="AP7" s="312"/>
      <c r="AQ7" s="312"/>
      <c r="AR7" s="312"/>
      <c r="AS7" s="312"/>
      <c r="AT7" s="312"/>
      <c r="AU7" s="312" t="s">
        <v>72</v>
      </c>
      <c r="AV7" s="312"/>
      <c r="AW7" s="312"/>
      <c r="AX7" s="312"/>
      <c r="AY7" s="2"/>
      <c r="AZ7" s="11"/>
      <c r="BA7" s="2"/>
      <c r="BB7" s="1"/>
    </row>
    <row r="8" spans="1:54" ht="33.75" customHeight="1">
      <c r="A8" s="11"/>
      <c r="B8" s="2"/>
      <c r="C8" s="305"/>
      <c r="D8" s="306"/>
      <c r="E8" s="305"/>
      <c r="F8" s="310"/>
      <c r="G8" s="310"/>
      <c r="H8" s="310"/>
      <c r="I8" s="310"/>
      <c r="J8" s="306"/>
      <c r="K8" s="312" t="s">
        <v>4</v>
      </c>
      <c r="L8" s="312"/>
      <c r="M8" s="312"/>
      <c r="N8" s="312"/>
      <c r="O8" s="312" t="s">
        <v>7</v>
      </c>
      <c r="P8" s="312"/>
      <c r="Q8" s="312"/>
      <c r="R8" s="312"/>
      <c r="S8" s="312" t="s">
        <v>15</v>
      </c>
      <c r="T8" s="312"/>
      <c r="U8" s="312"/>
      <c r="V8" s="312"/>
      <c r="W8" s="312"/>
      <c r="X8" s="312"/>
      <c r="Y8" s="312"/>
      <c r="Z8" s="312"/>
      <c r="AA8" s="312"/>
      <c r="AB8" s="312"/>
      <c r="AC8" s="312"/>
      <c r="AD8" s="312"/>
      <c r="AE8" s="312"/>
      <c r="AF8" s="312"/>
      <c r="AG8" s="312"/>
      <c r="AH8" s="312"/>
      <c r="AI8" s="318"/>
      <c r="AJ8" s="319"/>
      <c r="AK8" s="319"/>
      <c r="AL8" s="320"/>
      <c r="AM8" s="312" t="s">
        <v>17</v>
      </c>
      <c r="AN8" s="312"/>
      <c r="AO8" s="312"/>
      <c r="AP8" s="312"/>
      <c r="AQ8" s="312" t="s">
        <v>18</v>
      </c>
      <c r="AR8" s="312"/>
      <c r="AS8" s="312"/>
      <c r="AT8" s="312"/>
      <c r="AU8" s="312"/>
      <c r="AV8" s="312"/>
      <c r="AW8" s="312"/>
      <c r="AX8" s="312"/>
      <c r="AY8" s="2"/>
      <c r="AZ8" s="11"/>
      <c r="BA8" s="2"/>
      <c r="BB8" s="1"/>
    </row>
    <row r="9" spans="1:54" ht="29.25" customHeight="1">
      <c r="A9" s="11"/>
      <c r="B9" s="2"/>
      <c r="C9" s="307"/>
      <c r="D9" s="308"/>
      <c r="E9" s="307"/>
      <c r="F9" s="311"/>
      <c r="G9" s="311"/>
      <c r="H9" s="311"/>
      <c r="I9" s="311"/>
      <c r="J9" s="308"/>
      <c r="K9" s="312" t="s">
        <v>5</v>
      </c>
      <c r="L9" s="312"/>
      <c r="M9" s="312" t="s">
        <v>6</v>
      </c>
      <c r="N9" s="312"/>
      <c r="O9" s="312" t="s">
        <v>5</v>
      </c>
      <c r="P9" s="312"/>
      <c r="Q9" s="312" t="s">
        <v>6</v>
      </c>
      <c r="R9" s="312"/>
      <c r="S9" s="312" t="s">
        <v>5</v>
      </c>
      <c r="T9" s="312"/>
      <c r="U9" s="312" t="s">
        <v>6</v>
      </c>
      <c r="V9" s="312"/>
      <c r="W9" s="312"/>
      <c r="X9" s="312"/>
      <c r="Y9" s="312"/>
      <c r="Z9" s="312"/>
      <c r="AA9" s="312"/>
      <c r="AB9" s="312"/>
      <c r="AC9" s="312"/>
      <c r="AD9" s="312"/>
      <c r="AE9" s="312"/>
      <c r="AF9" s="312"/>
      <c r="AG9" s="312"/>
      <c r="AH9" s="312"/>
      <c r="AI9" s="314">
        <v>0.1</v>
      </c>
      <c r="AJ9" s="312"/>
      <c r="AK9" s="312"/>
      <c r="AL9" s="312"/>
      <c r="AM9" s="312" t="s">
        <v>13</v>
      </c>
      <c r="AN9" s="312"/>
      <c r="AO9" s="312"/>
      <c r="AP9" s="312"/>
      <c r="AQ9" s="312" t="s">
        <v>20</v>
      </c>
      <c r="AR9" s="312"/>
      <c r="AS9" s="312"/>
      <c r="AT9" s="312"/>
      <c r="AU9" s="312"/>
      <c r="AV9" s="312"/>
      <c r="AW9" s="312"/>
      <c r="AX9" s="312"/>
      <c r="AY9" s="2"/>
      <c r="AZ9" s="11"/>
      <c r="BA9" s="2"/>
      <c r="BB9" s="1"/>
    </row>
    <row r="10" spans="1:54" ht="39.950000000000003" customHeight="1">
      <c r="A10" s="11"/>
      <c r="B10" s="2"/>
      <c r="C10" s="162"/>
      <c r="D10" s="163"/>
      <c r="E10" s="171" t="str">
        <f>IF($C10="","",VLOOKUP($C10,'분양가테이블(부가세기입X)'!$A$6:$AF$400,2,FALSE))</f>
        <v/>
      </c>
      <c r="F10" s="172"/>
      <c r="G10" s="172"/>
      <c r="H10" s="173"/>
      <c r="I10" s="174" t="str">
        <f>IF($C10="","",VLOOKUP($C10,'분양가테이블(부가세기입X)'!$A$6:$AF$400,3,FALSE))</f>
        <v/>
      </c>
      <c r="J10" s="175"/>
      <c r="K10" s="176" t="str">
        <f>IF($C10="","",VLOOKUP($C10,'분양가테이블(부가세기입X)'!$A$6:$AF$400,4,FALSE))</f>
        <v/>
      </c>
      <c r="L10" s="176"/>
      <c r="M10" s="176" t="str">
        <f>IF($C10="","",VLOOKUP($C10,'분양가테이블(부가세기입X)'!$A$6:$AF$400,5,FALSE))</f>
        <v/>
      </c>
      <c r="N10" s="176"/>
      <c r="O10" s="176" t="str">
        <f>IF($C10="","",VLOOKUP($C10,'분양가테이블(부가세기입X)'!$A$6:$AF$400,12,FALSE))</f>
        <v/>
      </c>
      <c r="P10" s="176"/>
      <c r="Q10" s="176" t="str">
        <f>IF($C10="","",VLOOKUP($C10,'분양가테이블(부가세기입X)'!$A$6:$AF$400,13,FALSE))</f>
        <v/>
      </c>
      <c r="R10" s="176"/>
      <c r="S10" s="176" t="str">
        <f>IF($C10="","",VLOOKUP($C10,'분양가테이블(부가세기입X)'!$A$6:$AF$400,6,FALSE))</f>
        <v/>
      </c>
      <c r="T10" s="176"/>
      <c r="U10" s="176" t="str">
        <f>IF($C10="","",VLOOKUP($C10,'분양가테이블(부가세기입X)'!$A$6:$AF$400,7,FALSE))</f>
        <v/>
      </c>
      <c r="V10" s="176"/>
      <c r="W10" s="164" t="str">
        <f>IF($C10="","",VLOOKUP($C10,'분양가테이블(부가세기입X)'!$A$6:$AF$400,17,FALSE))</f>
        <v/>
      </c>
      <c r="X10" s="165"/>
      <c r="Y10" s="165"/>
      <c r="Z10" s="166"/>
      <c r="AA10" s="164" t="str">
        <f>IF($C10="","",VLOOKUP($C10,'분양가테이블(부가세기입X)'!$A$6:$AF$400,23,FALSE))</f>
        <v/>
      </c>
      <c r="AB10" s="165"/>
      <c r="AC10" s="165"/>
      <c r="AD10" s="166"/>
      <c r="AE10" s="164" t="str">
        <f>IF($C10="","",VLOOKUP($C10,'분양가테이블(부가세기입X)'!$A$6:$AF$400,24,FALSE))</f>
        <v/>
      </c>
      <c r="AF10" s="165"/>
      <c r="AG10" s="165"/>
      <c r="AH10" s="166"/>
      <c r="AI10" s="164" t="str">
        <f>IF($C10="","",VLOOKUP($C10,'분양가테이블(부가세기입X)'!$A$6:$AF$400,26,FALSE))</f>
        <v/>
      </c>
      <c r="AJ10" s="165"/>
      <c r="AK10" s="165"/>
      <c r="AL10" s="166"/>
      <c r="AM10" s="167"/>
      <c r="AN10" s="167"/>
      <c r="AO10" s="167"/>
      <c r="AP10" s="167"/>
      <c r="AQ10" s="164" t="str">
        <f>AI10</f>
        <v/>
      </c>
      <c r="AR10" s="165"/>
      <c r="AS10" s="165"/>
      <c r="AT10" s="166"/>
      <c r="AU10" s="168" t="str">
        <f>IF($C10="","",VLOOKUP($C10,'분양가테이블(부가세기입X)'!$A$6:$AF$400,18,FALSE))</f>
        <v/>
      </c>
      <c r="AV10" s="169"/>
      <c r="AW10" s="169"/>
      <c r="AX10" s="170"/>
      <c r="AY10" s="2"/>
      <c r="AZ10" s="11"/>
      <c r="BA10" s="2"/>
      <c r="BB10" s="1"/>
    </row>
    <row r="11" spans="1:54" ht="39.950000000000003" customHeight="1">
      <c r="A11" s="11"/>
      <c r="B11" s="2"/>
      <c r="C11" s="180" t="s">
        <v>481</v>
      </c>
      <c r="D11" s="181"/>
      <c r="E11" s="285" t="str">
        <f>IF($C11="","",VLOOKUP($C11,'분양가테이블(부가세기입X)'!$A$6:$AF$400,2,FALSE))</f>
        <v>업무시설(지식산업센터)</v>
      </c>
      <c r="F11" s="286"/>
      <c r="G11" s="286"/>
      <c r="H11" s="287"/>
      <c r="I11" s="288" t="str">
        <f>IF($C11="","",VLOOKUP($C11,'분양가테이블(부가세기입X)'!$A$6:$AF$400,3,FALSE))</f>
        <v>임대</v>
      </c>
      <c r="J11" s="289"/>
      <c r="K11" s="275">
        <f>IF($C11="","",VLOOKUP($C11,'분양가테이블(부가세기입X)'!$A$6:$AF$400,4,FALSE))</f>
        <v>81.69</v>
      </c>
      <c r="L11" s="275"/>
      <c r="M11" s="275">
        <f>IF($C11="","",VLOOKUP($C11,'분양가테이블(부가세기입X)'!$A$6:$AF$400,5,FALSE))</f>
        <v>24.711224999999999</v>
      </c>
      <c r="N11" s="275"/>
      <c r="O11" s="275">
        <f>IF($C11="","",VLOOKUP($C11,'분양가테이블(부가세기입X)'!$A$6:$AF$400,12,FALSE))</f>
        <v>96.53</v>
      </c>
      <c r="P11" s="275"/>
      <c r="Q11" s="275">
        <f>IF($C11="","",VLOOKUP($C11,'분양가테이블(부가세기입X)'!$A$6:$AF$400,13,FALSE))</f>
        <v>29.200324999999999</v>
      </c>
      <c r="R11" s="275"/>
      <c r="S11" s="275">
        <f>IF($C11="","",VLOOKUP($C11,'분양가테이블(부가세기입X)'!$A$6:$AF$400,6,FALSE))</f>
        <v>178.22</v>
      </c>
      <c r="T11" s="275"/>
      <c r="U11" s="275">
        <f>IF($C11="","",VLOOKUP($C11,'분양가테이블(부가세기입X)'!$A$6:$AF$400,7,FALSE))</f>
        <v>53.911549999999998</v>
      </c>
      <c r="V11" s="275"/>
      <c r="W11" s="279">
        <f>IF($C11="","",VLOOKUP($C11,'분양가테이블(부가세기입X)'!$A$6:$AF$400,17,FALSE))</f>
        <v>2857000</v>
      </c>
      <c r="X11" s="280"/>
      <c r="Y11" s="280"/>
      <c r="Z11" s="281"/>
      <c r="AA11" s="279">
        <f>IF($C11="","",VLOOKUP($C11,'분양가테이블(부가세기입X)'!$A$6:$AF$400,23,FALSE))</f>
        <v>285700</v>
      </c>
      <c r="AB11" s="280"/>
      <c r="AC11" s="280"/>
      <c r="AD11" s="281"/>
      <c r="AE11" s="279">
        <f>IF($C11="","",VLOOKUP($C11,'분양가테이블(부가세기입X)'!$A$6:$AF$400,24,FALSE))</f>
        <v>3142700</v>
      </c>
      <c r="AF11" s="280"/>
      <c r="AG11" s="280"/>
      <c r="AH11" s="281"/>
      <c r="AI11" s="279">
        <f>IF($C11="","",VLOOKUP($C11,'분양가테이블(부가세기입X)'!$A$6:$AF$400,26,FALSE))</f>
        <v>2857000</v>
      </c>
      <c r="AJ11" s="280"/>
      <c r="AK11" s="280"/>
      <c r="AL11" s="281"/>
      <c r="AM11" s="282"/>
      <c r="AN11" s="282"/>
      <c r="AO11" s="282"/>
      <c r="AP11" s="282"/>
      <c r="AQ11" s="279">
        <f t="shared" ref="AQ11:AQ34" si="0">AI11</f>
        <v>2857000</v>
      </c>
      <c r="AR11" s="280"/>
      <c r="AS11" s="280"/>
      <c r="AT11" s="281"/>
      <c r="AU11" s="276">
        <f>IF($C11="","",VLOOKUP($C11,'분양가테이블(부가세기입X)'!$A$6:$AF$400,18,FALSE))</f>
        <v>28570000</v>
      </c>
      <c r="AV11" s="277"/>
      <c r="AW11" s="277"/>
      <c r="AX11" s="278"/>
      <c r="AY11" s="2"/>
      <c r="AZ11" s="11"/>
      <c r="BA11" s="2"/>
      <c r="BB11" s="1"/>
    </row>
    <row r="12" spans="1:54" ht="39.950000000000003" customHeight="1">
      <c r="A12" s="11"/>
      <c r="B12" s="2"/>
      <c r="C12" s="180" t="s">
        <v>482</v>
      </c>
      <c r="D12" s="181"/>
      <c r="E12" s="285" t="str">
        <f>IF($C12="","",VLOOKUP($C12,'분양가테이블(부가세기입X)'!$A$6:$AF$400,2,FALSE))</f>
        <v>업무시설(지식산업센터)</v>
      </c>
      <c r="F12" s="286"/>
      <c r="G12" s="286"/>
      <c r="H12" s="287"/>
      <c r="I12" s="288" t="str">
        <f>IF($C12="","",VLOOKUP($C12,'분양가테이블(부가세기입X)'!$A$6:$AF$400,3,FALSE))</f>
        <v>임대</v>
      </c>
      <c r="J12" s="289"/>
      <c r="K12" s="275">
        <f>IF($C12="","",VLOOKUP($C12,'분양가테이블(부가세기입X)'!$A$6:$AF$400,4,FALSE))</f>
        <v>81.69</v>
      </c>
      <c r="L12" s="275"/>
      <c r="M12" s="275">
        <f>IF($C12="","",VLOOKUP($C12,'분양가테이블(부가세기입X)'!$A$6:$AF$400,5,FALSE))</f>
        <v>24.711224999999999</v>
      </c>
      <c r="N12" s="275"/>
      <c r="O12" s="275">
        <f>IF($C12="","",VLOOKUP($C12,'분양가테이블(부가세기입X)'!$A$6:$AF$400,12,FALSE))</f>
        <v>96.53</v>
      </c>
      <c r="P12" s="275"/>
      <c r="Q12" s="275">
        <f>IF($C12="","",VLOOKUP($C12,'분양가테이블(부가세기입X)'!$A$6:$AF$400,13,FALSE))</f>
        <v>29.200324999999999</v>
      </c>
      <c r="R12" s="275"/>
      <c r="S12" s="275">
        <f>IF($C12="","",VLOOKUP($C12,'분양가테이블(부가세기입X)'!$A$6:$AF$400,6,FALSE))</f>
        <v>178.22</v>
      </c>
      <c r="T12" s="275"/>
      <c r="U12" s="275">
        <f>IF($C12="","",VLOOKUP($C12,'분양가테이블(부가세기입X)'!$A$6:$AF$400,7,FALSE))</f>
        <v>53.911549999999998</v>
      </c>
      <c r="V12" s="275"/>
      <c r="W12" s="279">
        <f>IF($C12="","",VLOOKUP($C12,'분양가테이블(부가세기입X)'!$A$6:$AF$400,17,FALSE))</f>
        <v>2857000</v>
      </c>
      <c r="X12" s="280"/>
      <c r="Y12" s="280"/>
      <c r="Z12" s="281"/>
      <c r="AA12" s="279">
        <f>IF($C12="","",VLOOKUP($C12,'분양가테이블(부가세기입X)'!$A$6:$AF$400,23,FALSE))</f>
        <v>285700</v>
      </c>
      <c r="AB12" s="280"/>
      <c r="AC12" s="280"/>
      <c r="AD12" s="281"/>
      <c r="AE12" s="279">
        <f>IF($C12="","",VLOOKUP($C12,'분양가테이블(부가세기입X)'!$A$6:$AF$400,24,FALSE))</f>
        <v>3142700</v>
      </c>
      <c r="AF12" s="280"/>
      <c r="AG12" s="280"/>
      <c r="AH12" s="281"/>
      <c r="AI12" s="279">
        <f>IF($C12="","",VLOOKUP($C12,'분양가테이블(부가세기입X)'!$A$6:$AF$400,26,FALSE))</f>
        <v>2857000</v>
      </c>
      <c r="AJ12" s="280"/>
      <c r="AK12" s="280"/>
      <c r="AL12" s="281"/>
      <c r="AM12" s="282"/>
      <c r="AN12" s="282"/>
      <c r="AO12" s="282"/>
      <c r="AP12" s="282"/>
      <c r="AQ12" s="279">
        <f t="shared" si="0"/>
        <v>2857000</v>
      </c>
      <c r="AR12" s="280"/>
      <c r="AS12" s="280"/>
      <c r="AT12" s="281"/>
      <c r="AU12" s="276">
        <f>IF($C12="","",VLOOKUP($C12,'분양가테이블(부가세기입X)'!$A$6:$AF$400,18,FALSE))</f>
        <v>28570000</v>
      </c>
      <c r="AV12" s="277"/>
      <c r="AW12" s="277"/>
      <c r="AX12" s="278"/>
      <c r="AY12" s="2"/>
      <c r="AZ12" s="11"/>
      <c r="BA12" s="2"/>
      <c r="BB12" s="1"/>
    </row>
    <row r="13" spans="1:54" ht="39.950000000000003" customHeight="1">
      <c r="A13" s="11"/>
      <c r="B13" s="2"/>
      <c r="C13" s="180" t="s">
        <v>483</v>
      </c>
      <c r="D13" s="181"/>
      <c r="E13" s="297" t="str">
        <f>IF($C13="","",VLOOKUP($C13,'분양가테이블(부가세기입X)'!$A$6:$AF$400,2,FALSE))</f>
        <v>업무시설(지식산업센터)</v>
      </c>
      <c r="F13" s="298"/>
      <c r="G13" s="298"/>
      <c r="H13" s="299"/>
      <c r="I13" s="300" t="str">
        <f>IF($C13="","",VLOOKUP($C13,'분양가테이블(부가세기입X)'!$A$6:$AF$400,3,FALSE))</f>
        <v>임대</v>
      </c>
      <c r="J13" s="301"/>
      <c r="K13" s="302">
        <f>IF($C13="","",VLOOKUP($C13,'분양가테이블(부가세기입X)'!$A$6:$AF$400,4,FALSE))</f>
        <v>81.69</v>
      </c>
      <c r="L13" s="302"/>
      <c r="M13" s="302">
        <f>IF($C13="","",VLOOKUP($C13,'분양가테이블(부가세기입X)'!$A$6:$AF$400,5,FALSE))</f>
        <v>24.711224999999999</v>
      </c>
      <c r="N13" s="302"/>
      <c r="O13" s="302">
        <f>IF($C13="","",VLOOKUP($C13,'분양가테이블(부가세기입X)'!$A$6:$AF$400,12,FALSE))</f>
        <v>96.53</v>
      </c>
      <c r="P13" s="302"/>
      <c r="Q13" s="302">
        <f>IF($C13="","",VLOOKUP($C13,'분양가테이블(부가세기입X)'!$A$6:$AF$400,13,FALSE))</f>
        <v>29.200324999999999</v>
      </c>
      <c r="R13" s="302"/>
      <c r="S13" s="302">
        <f>IF($C13="","",VLOOKUP($C13,'분양가테이블(부가세기입X)'!$A$6:$AF$400,6,FALSE))</f>
        <v>178.22</v>
      </c>
      <c r="T13" s="302"/>
      <c r="U13" s="302">
        <f>IF($C13="","",VLOOKUP($C13,'분양가테이블(부가세기입X)'!$A$6:$AF$400,7,FALSE))</f>
        <v>53.911549999999998</v>
      </c>
      <c r="V13" s="302"/>
      <c r="W13" s="293">
        <f>IF($C13="","",VLOOKUP($C13,'분양가테이블(부가세기입X)'!$A$6:$AF$400,17,FALSE))</f>
        <v>2857000</v>
      </c>
      <c r="X13" s="294"/>
      <c r="Y13" s="294"/>
      <c r="Z13" s="295"/>
      <c r="AA13" s="293">
        <f>IF($C13="","",VLOOKUP($C13,'분양가테이블(부가세기입X)'!$A$6:$AF$400,23,FALSE))</f>
        <v>285700</v>
      </c>
      <c r="AB13" s="294"/>
      <c r="AC13" s="294"/>
      <c r="AD13" s="295"/>
      <c r="AE13" s="293">
        <f>IF($C13="","",VLOOKUP($C13,'분양가테이블(부가세기입X)'!$A$6:$AF$400,24,FALSE))</f>
        <v>3142700</v>
      </c>
      <c r="AF13" s="294"/>
      <c r="AG13" s="294"/>
      <c r="AH13" s="295"/>
      <c r="AI13" s="293">
        <f>IF($C13="","",VLOOKUP($C13,'분양가테이블(부가세기입X)'!$A$6:$AF$400,26,FALSE))</f>
        <v>2857000</v>
      </c>
      <c r="AJ13" s="294"/>
      <c r="AK13" s="294"/>
      <c r="AL13" s="295"/>
      <c r="AM13" s="296"/>
      <c r="AN13" s="296"/>
      <c r="AO13" s="296"/>
      <c r="AP13" s="296"/>
      <c r="AQ13" s="293">
        <f t="shared" si="0"/>
        <v>2857000</v>
      </c>
      <c r="AR13" s="294"/>
      <c r="AS13" s="294"/>
      <c r="AT13" s="295"/>
      <c r="AU13" s="290">
        <f>IF($C13="","",VLOOKUP($C13,'분양가테이블(부가세기입X)'!$A$6:$AF$400,18,FALSE))</f>
        <v>28570000</v>
      </c>
      <c r="AV13" s="291"/>
      <c r="AW13" s="291"/>
      <c r="AX13" s="292"/>
      <c r="AY13" s="2"/>
      <c r="AZ13" s="11"/>
      <c r="BA13" s="2"/>
      <c r="BB13" s="1"/>
    </row>
    <row r="14" spans="1:54" ht="39.950000000000003" customHeight="1">
      <c r="A14" s="11"/>
      <c r="B14" s="2"/>
      <c r="C14" s="180"/>
      <c r="D14" s="181"/>
      <c r="E14" s="297" t="str">
        <f>IF($C14="","",VLOOKUP($C14,'분양가테이블(부가세기입X)'!$A$6:$AF$400,2,FALSE))</f>
        <v/>
      </c>
      <c r="F14" s="298"/>
      <c r="G14" s="298"/>
      <c r="H14" s="299"/>
      <c r="I14" s="300" t="str">
        <f>IF($C14="","",VLOOKUP($C14,'분양가테이블(부가세기입X)'!$A$6:$AF$400,3,FALSE))</f>
        <v/>
      </c>
      <c r="J14" s="301"/>
      <c r="K14" s="302" t="str">
        <f>IF($C14="","",VLOOKUP($C14,'분양가테이블(부가세기입X)'!$A$6:$AF$400,4,FALSE))</f>
        <v/>
      </c>
      <c r="L14" s="302"/>
      <c r="M14" s="302" t="str">
        <f>IF($C14="","",VLOOKUP($C14,'분양가테이블(부가세기입X)'!$A$6:$AF$400,5,FALSE))</f>
        <v/>
      </c>
      <c r="N14" s="302"/>
      <c r="O14" s="302" t="str">
        <f>IF($C14="","",VLOOKUP($C14,'분양가테이블(부가세기입X)'!$A$6:$AF$400,12,FALSE))</f>
        <v/>
      </c>
      <c r="P14" s="302"/>
      <c r="Q14" s="302" t="str">
        <f>IF($C14="","",VLOOKUP($C14,'분양가테이블(부가세기입X)'!$A$6:$AF$400,13,FALSE))</f>
        <v/>
      </c>
      <c r="R14" s="302"/>
      <c r="S14" s="302" t="str">
        <f>IF($C14="","",VLOOKUP($C14,'분양가테이블(부가세기입X)'!$A$6:$AF$400,6,FALSE))</f>
        <v/>
      </c>
      <c r="T14" s="302"/>
      <c r="U14" s="302" t="str">
        <f>IF($C14="","",VLOOKUP($C14,'분양가테이블(부가세기입X)'!$A$6:$AF$400,7,FALSE))</f>
        <v/>
      </c>
      <c r="V14" s="302"/>
      <c r="W14" s="293" t="str">
        <f>IF($C14="","",VLOOKUP($C14,'분양가테이블(부가세기입X)'!$A$6:$AF$400,17,FALSE))</f>
        <v/>
      </c>
      <c r="X14" s="294"/>
      <c r="Y14" s="294"/>
      <c r="Z14" s="295"/>
      <c r="AA14" s="293" t="str">
        <f>IF($C14="","",VLOOKUP($C14,'분양가테이블(부가세기입X)'!$A$6:$AF$400,23,FALSE))</f>
        <v/>
      </c>
      <c r="AB14" s="294"/>
      <c r="AC14" s="294"/>
      <c r="AD14" s="295"/>
      <c r="AE14" s="293" t="str">
        <f>IF($C14="","",VLOOKUP($C14,'분양가테이블(부가세기입X)'!$A$6:$AF$400,24,FALSE))</f>
        <v/>
      </c>
      <c r="AF14" s="294"/>
      <c r="AG14" s="294"/>
      <c r="AH14" s="295"/>
      <c r="AI14" s="293" t="str">
        <f>IF($C14="","",VLOOKUP($C14,'분양가테이블(부가세기입X)'!$A$6:$AF$400,26,FALSE))</f>
        <v/>
      </c>
      <c r="AJ14" s="294"/>
      <c r="AK14" s="294"/>
      <c r="AL14" s="295"/>
      <c r="AM14" s="296"/>
      <c r="AN14" s="296"/>
      <c r="AO14" s="296"/>
      <c r="AP14" s="296"/>
      <c r="AQ14" s="293" t="str">
        <f t="shared" si="0"/>
        <v/>
      </c>
      <c r="AR14" s="294"/>
      <c r="AS14" s="294"/>
      <c r="AT14" s="295"/>
      <c r="AU14" s="290" t="str">
        <f>IF($C14="","",VLOOKUP($C14,'분양가테이블(부가세기입X)'!$A$6:$AF$400,18,FALSE))</f>
        <v/>
      </c>
      <c r="AV14" s="291"/>
      <c r="AW14" s="291"/>
      <c r="AX14" s="292"/>
      <c r="AY14" s="2"/>
      <c r="AZ14" s="11"/>
      <c r="BA14" s="2"/>
      <c r="BB14" s="9"/>
    </row>
    <row r="15" spans="1:54" ht="39.950000000000003" customHeight="1">
      <c r="A15" s="11"/>
      <c r="B15" s="2"/>
      <c r="C15" s="180"/>
      <c r="D15" s="181"/>
      <c r="E15" s="297" t="str">
        <f>IF($C15="","",VLOOKUP($C15,'분양가테이블(부가세기입X)'!$A$6:$AF$400,2,FALSE))</f>
        <v/>
      </c>
      <c r="F15" s="298"/>
      <c r="G15" s="298"/>
      <c r="H15" s="299"/>
      <c r="I15" s="300" t="str">
        <f>IF($C15="","",VLOOKUP($C15,'분양가테이블(부가세기입X)'!$A$6:$AF$400,3,FALSE))</f>
        <v/>
      </c>
      <c r="J15" s="301"/>
      <c r="K15" s="302" t="str">
        <f>IF($C15="","",VLOOKUP($C15,'분양가테이블(부가세기입X)'!$A$6:$AF$400,4,FALSE))</f>
        <v/>
      </c>
      <c r="L15" s="302"/>
      <c r="M15" s="302" t="str">
        <f>IF($C15="","",VLOOKUP($C15,'분양가테이블(부가세기입X)'!$A$6:$AF$400,5,FALSE))</f>
        <v/>
      </c>
      <c r="N15" s="302"/>
      <c r="O15" s="302" t="str">
        <f>IF($C15="","",VLOOKUP($C15,'분양가테이블(부가세기입X)'!$A$6:$AF$400,12,FALSE))</f>
        <v/>
      </c>
      <c r="P15" s="302"/>
      <c r="Q15" s="302" t="str">
        <f>IF($C15="","",VLOOKUP($C15,'분양가테이블(부가세기입X)'!$A$6:$AF$400,13,FALSE))</f>
        <v/>
      </c>
      <c r="R15" s="302"/>
      <c r="S15" s="302" t="str">
        <f>IF($C15="","",VLOOKUP($C15,'분양가테이블(부가세기입X)'!$A$6:$AF$400,6,FALSE))</f>
        <v/>
      </c>
      <c r="T15" s="302"/>
      <c r="U15" s="302" t="str">
        <f>IF($C15="","",VLOOKUP($C15,'분양가테이블(부가세기입X)'!$A$6:$AF$400,7,FALSE))</f>
        <v/>
      </c>
      <c r="V15" s="302"/>
      <c r="W15" s="293" t="str">
        <f>IF($C15="","",VLOOKUP($C15,'분양가테이블(부가세기입X)'!$A$6:$AF$400,17,FALSE))</f>
        <v/>
      </c>
      <c r="X15" s="294"/>
      <c r="Y15" s="294"/>
      <c r="Z15" s="295"/>
      <c r="AA15" s="293" t="str">
        <f>IF($C15="","",VLOOKUP($C15,'분양가테이블(부가세기입X)'!$A$6:$AF$400,23,FALSE))</f>
        <v/>
      </c>
      <c r="AB15" s="294"/>
      <c r="AC15" s="294"/>
      <c r="AD15" s="295"/>
      <c r="AE15" s="293" t="str">
        <f>IF($C15="","",VLOOKUP($C15,'분양가테이블(부가세기입X)'!$A$6:$AF$400,24,FALSE))</f>
        <v/>
      </c>
      <c r="AF15" s="294"/>
      <c r="AG15" s="294"/>
      <c r="AH15" s="295"/>
      <c r="AI15" s="293" t="str">
        <f>IF($C15="","",VLOOKUP($C15,'분양가테이블(부가세기입X)'!$A$6:$AF$400,26,FALSE))</f>
        <v/>
      </c>
      <c r="AJ15" s="294"/>
      <c r="AK15" s="294"/>
      <c r="AL15" s="295"/>
      <c r="AM15" s="296"/>
      <c r="AN15" s="296"/>
      <c r="AO15" s="296"/>
      <c r="AP15" s="296"/>
      <c r="AQ15" s="293" t="str">
        <f t="shared" si="0"/>
        <v/>
      </c>
      <c r="AR15" s="294"/>
      <c r="AS15" s="294"/>
      <c r="AT15" s="295"/>
      <c r="AU15" s="290" t="str">
        <f>IF($C15="","",VLOOKUP($C15,'분양가테이블(부가세기입X)'!$A$6:$AF$400,18,FALSE))</f>
        <v/>
      </c>
      <c r="AV15" s="291"/>
      <c r="AW15" s="291"/>
      <c r="AX15" s="292"/>
      <c r="AY15" s="2"/>
      <c r="AZ15" s="11"/>
      <c r="BA15" s="2"/>
      <c r="BB15" s="1"/>
    </row>
    <row r="16" spans="1:54" ht="39.950000000000003" customHeight="1">
      <c r="A16" s="11"/>
      <c r="B16" s="2"/>
      <c r="C16" s="180"/>
      <c r="D16" s="181"/>
      <c r="E16" s="297" t="str">
        <f>IF($C16="","",VLOOKUP($C16,'분양가테이블(부가세기입X)'!$A$6:$AF$400,2,FALSE))</f>
        <v/>
      </c>
      <c r="F16" s="298"/>
      <c r="G16" s="298"/>
      <c r="H16" s="299"/>
      <c r="I16" s="300" t="str">
        <f>IF($C16="","",VLOOKUP($C16,'분양가테이블(부가세기입X)'!$A$6:$AF$400,3,FALSE))</f>
        <v/>
      </c>
      <c r="J16" s="301"/>
      <c r="K16" s="302" t="str">
        <f>IF($C16="","",VLOOKUP($C16,'분양가테이블(부가세기입X)'!$A$6:$AF$400,4,FALSE))</f>
        <v/>
      </c>
      <c r="L16" s="302"/>
      <c r="M16" s="302" t="str">
        <f>IF($C16="","",VLOOKUP($C16,'분양가테이블(부가세기입X)'!$A$6:$AF$400,5,FALSE))</f>
        <v/>
      </c>
      <c r="N16" s="302"/>
      <c r="O16" s="302" t="str">
        <f>IF($C16="","",VLOOKUP($C16,'분양가테이블(부가세기입X)'!$A$6:$AF$400,12,FALSE))</f>
        <v/>
      </c>
      <c r="P16" s="302"/>
      <c r="Q16" s="302" t="str">
        <f>IF($C16="","",VLOOKUP($C16,'분양가테이블(부가세기입X)'!$A$6:$AF$400,13,FALSE))</f>
        <v/>
      </c>
      <c r="R16" s="302"/>
      <c r="S16" s="302" t="str">
        <f>IF($C16="","",VLOOKUP($C16,'분양가테이블(부가세기입X)'!$A$6:$AF$400,6,FALSE))</f>
        <v/>
      </c>
      <c r="T16" s="302"/>
      <c r="U16" s="302" t="str">
        <f>IF($C16="","",VLOOKUP($C16,'분양가테이블(부가세기입X)'!$A$6:$AF$400,7,FALSE))</f>
        <v/>
      </c>
      <c r="V16" s="302"/>
      <c r="W16" s="293" t="str">
        <f>IF($C16="","",VLOOKUP($C16,'분양가테이블(부가세기입X)'!$A$6:$AF$400,17,FALSE))</f>
        <v/>
      </c>
      <c r="X16" s="294"/>
      <c r="Y16" s="294"/>
      <c r="Z16" s="295"/>
      <c r="AA16" s="293" t="str">
        <f>IF($C16="","",VLOOKUP($C16,'분양가테이블(부가세기입X)'!$A$6:$AF$400,23,FALSE))</f>
        <v/>
      </c>
      <c r="AB16" s="294"/>
      <c r="AC16" s="294"/>
      <c r="AD16" s="295"/>
      <c r="AE16" s="293" t="str">
        <f>IF($C16="","",VLOOKUP($C16,'분양가테이블(부가세기입X)'!$A$6:$AF$400,24,FALSE))</f>
        <v/>
      </c>
      <c r="AF16" s="294"/>
      <c r="AG16" s="294"/>
      <c r="AH16" s="295"/>
      <c r="AI16" s="293" t="str">
        <f>IF($C16="","",VLOOKUP($C16,'분양가테이블(부가세기입X)'!$A$6:$AF$400,26,FALSE))</f>
        <v/>
      </c>
      <c r="AJ16" s="294"/>
      <c r="AK16" s="294"/>
      <c r="AL16" s="295"/>
      <c r="AM16" s="296"/>
      <c r="AN16" s="296"/>
      <c r="AO16" s="296"/>
      <c r="AP16" s="296"/>
      <c r="AQ16" s="293" t="str">
        <f t="shared" si="0"/>
        <v/>
      </c>
      <c r="AR16" s="294"/>
      <c r="AS16" s="294"/>
      <c r="AT16" s="295"/>
      <c r="AU16" s="290" t="str">
        <f>IF($C16="","",VLOOKUP($C16,'분양가테이블(부가세기입X)'!$A$6:$AF$400,18,FALSE))</f>
        <v/>
      </c>
      <c r="AV16" s="291"/>
      <c r="AW16" s="291"/>
      <c r="AX16" s="292"/>
      <c r="AY16" s="2"/>
      <c r="AZ16" s="11"/>
      <c r="BA16" s="2"/>
      <c r="BB16" s="1"/>
    </row>
    <row r="17" spans="1:54" ht="39.950000000000003" customHeight="1">
      <c r="A17" s="11"/>
      <c r="B17" s="2"/>
      <c r="C17" s="180"/>
      <c r="D17" s="181"/>
      <c r="E17" s="297" t="str">
        <f>IF($C17="","",VLOOKUP($C17,'분양가테이블(부가세기입X)'!$A$6:$AF$400,2,FALSE))</f>
        <v/>
      </c>
      <c r="F17" s="298"/>
      <c r="G17" s="298"/>
      <c r="H17" s="299"/>
      <c r="I17" s="300" t="str">
        <f>IF($C17="","",VLOOKUP($C17,'분양가테이블(부가세기입X)'!$A$6:$AF$400,3,FALSE))</f>
        <v/>
      </c>
      <c r="J17" s="301"/>
      <c r="K17" s="302" t="str">
        <f>IF($C17="","",VLOOKUP($C17,'분양가테이블(부가세기입X)'!$A$6:$AF$400,4,FALSE))</f>
        <v/>
      </c>
      <c r="L17" s="302"/>
      <c r="M17" s="302" t="str">
        <f>IF($C17="","",VLOOKUP($C17,'분양가테이블(부가세기입X)'!$A$6:$AF$400,5,FALSE))</f>
        <v/>
      </c>
      <c r="N17" s="302"/>
      <c r="O17" s="302" t="str">
        <f>IF($C17="","",VLOOKUP($C17,'분양가테이블(부가세기입X)'!$A$6:$AF$400,12,FALSE))</f>
        <v/>
      </c>
      <c r="P17" s="302"/>
      <c r="Q17" s="302" t="str">
        <f>IF($C17="","",VLOOKUP($C17,'분양가테이블(부가세기입X)'!$A$6:$AF$400,13,FALSE))</f>
        <v/>
      </c>
      <c r="R17" s="302"/>
      <c r="S17" s="302" t="str">
        <f>IF($C17="","",VLOOKUP($C17,'분양가테이블(부가세기입X)'!$A$6:$AF$400,6,FALSE))</f>
        <v/>
      </c>
      <c r="T17" s="302"/>
      <c r="U17" s="302" t="str">
        <f>IF($C17="","",VLOOKUP($C17,'분양가테이블(부가세기입X)'!$A$6:$AF$400,7,FALSE))</f>
        <v/>
      </c>
      <c r="V17" s="302"/>
      <c r="W17" s="293" t="str">
        <f>IF($C17="","",VLOOKUP($C17,'분양가테이블(부가세기입X)'!$A$6:$AF$400,17,FALSE))</f>
        <v/>
      </c>
      <c r="X17" s="294"/>
      <c r="Y17" s="294"/>
      <c r="Z17" s="295"/>
      <c r="AA17" s="293" t="str">
        <f>IF($C17="","",VLOOKUP($C17,'분양가테이블(부가세기입X)'!$A$6:$AF$400,23,FALSE))</f>
        <v/>
      </c>
      <c r="AB17" s="294"/>
      <c r="AC17" s="294"/>
      <c r="AD17" s="295"/>
      <c r="AE17" s="293" t="str">
        <f>IF($C17="","",VLOOKUP($C17,'분양가테이블(부가세기입X)'!$A$6:$AF$400,24,FALSE))</f>
        <v/>
      </c>
      <c r="AF17" s="294"/>
      <c r="AG17" s="294"/>
      <c r="AH17" s="295"/>
      <c r="AI17" s="293" t="str">
        <f>IF($C17="","",VLOOKUP($C17,'분양가테이블(부가세기입X)'!$A$6:$AF$400,26,FALSE))</f>
        <v/>
      </c>
      <c r="AJ17" s="294"/>
      <c r="AK17" s="294"/>
      <c r="AL17" s="295"/>
      <c r="AM17" s="296"/>
      <c r="AN17" s="296"/>
      <c r="AO17" s="296"/>
      <c r="AP17" s="296"/>
      <c r="AQ17" s="293" t="str">
        <f t="shared" si="0"/>
        <v/>
      </c>
      <c r="AR17" s="294"/>
      <c r="AS17" s="294"/>
      <c r="AT17" s="295"/>
      <c r="AU17" s="290" t="str">
        <f>IF($C17="","",VLOOKUP($C17,'분양가테이블(부가세기입X)'!$A$6:$AF$400,18,FALSE))</f>
        <v/>
      </c>
      <c r="AV17" s="291"/>
      <c r="AW17" s="291"/>
      <c r="AX17" s="292"/>
      <c r="AY17" s="2"/>
      <c r="AZ17" s="11"/>
      <c r="BA17" s="2"/>
      <c r="BB17" s="1"/>
    </row>
    <row r="18" spans="1:54" ht="39.950000000000003" customHeight="1">
      <c r="A18" s="11"/>
      <c r="B18" s="2"/>
      <c r="C18" s="180"/>
      <c r="D18" s="181"/>
      <c r="E18" s="285" t="str">
        <f>IF($C18="","",VLOOKUP($C18,'분양가테이블(부가세기입X)'!$A$6:$AF$400,2,FALSE))</f>
        <v/>
      </c>
      <c r="F18" s="286"/>
      <c r="G18" s="286"/>
      <c r="H18" s="287"/>
      <c r="I18" s="288" t="str">
        <f>IF($C18="","",VLOOKUP($C18,'분양가테이블(부가세기입X)'!$A$6:$AF$400,3,FALSE))</f>
        <v/>
      </c>
      <c r="J18" s="289"/>
      <c r="K18" s="275" t="str">
        <f>IF($C18="","",VLOOKUP($C18,'분양가테이블(부가세기입X)'!$A$6:$AF$400,4,FALSE))</f>
        <v/>
      </c>
      <c r="L18" s="275"/>
      <c r="M18" s="275" t="str">
        <f>IF($C18="","",VLOOKUP($C18,'분양가테이블(부가세기입X)'!$A$6:$AF$400,5,FALSE))</f>
        <v/>
      </c>
      <c r="N18" s="275"/>
      <c r="O18" s="275" t="str">
        <f>IF($C18="","",VLOOKUP($C18,'분양가테이블(부가세기입X)'!$A$6:$AF$400,12,FALSE))</f>
        <v/>
      </c>
      <c r="P18" s="275"/>
      <c r="Q18" s="275" t="str">
        <f>IF($C18="","",VLOOKUP($C18,'분양가테이블(부가세기입X)'!$A$6:$AF$400,13,FALSE))</f>
        <v/>
      </c>
      <c r="R18" s="275"/>
      <c r="S18" s="275" t="str">
        <f>IF($C18="","",VLOOKUP($C18,'분양가테이블(부가세기입X)'!$A$6:$AF$400,6,FALSE))</f>
        <v/>
      </c>
      <c r="T18" s="275"/>
      <c r="U18" s="275" t="str">
        <f>IF($C18="","",VLOOKUP($C18,'분양가테이블(부가세기입X)'!$A$6:$AF$400,7,FALSE))</f>
        <v/>
      </c>
      <c r="V18" s="275"/>
      <c r="W18" s="279" t="str">
        <f>IF($C18="","",VLOOKUP($C18,'분양가테이블(부가세기입X)'!$A$6:$AF$400,17,FALSE))</f>
        <v/>
      </c>
      <c r="X18" s="280"/>
      <c r="Y18" s="280"/>
      <c r="Z18" s="281"/>
      <c r="AA18" s="279" t="str">
        <f>IF($C18="","",VLOOKUP($C18,'분양가테이블(부가세기입X)'!$A$6:$AF$400,23,FALSE))</f>
        <v/>
      </c>
      <c r="AB18" s="280"/>
      <c r="AC18" s="280"/>
      <c r="AD18" s="281"/>
      <c r="AE18" s="279" t="str">
        <f>IF($C18="","",VLOOKUP($C18,'분양가테이블(부가세기입X)'!$A$6:$AF$400,24,FALSE))</f>
        <v/>
      </c>
      <c r="AF18" s="280"/>
      <c r="AG18" s="280"/>
      <c r="AH18" s="281"/>
      <c r="AI18" s="279" t="str">
        <f>IF($C18="","",VLOOKUP($C18,'분양가테이블(부가세기입X)'!$A$6:$AF$400,26,FALSE))</f>
        <v/>
      </c>
      <c r="AJ18" s="280"/>
      <c r="AK18" s="280"/>
      <c r="AL18" s="281"/>
      <c r="AM18" s="282"/>
      <c r="AN18" s="282"/>
      <c r="AO18" s="282"/>
      <c r="AP18" s="282"/>
      <c r="AQ18" s="279" t="str">
        <f t="shared" si="0"/>
        <v/>
      </c>
      <c r="AR18" s="280"/>
      <c r="AS18" s="280"/>
      <c r="AT18" s="281"/>
      <c r="AU18" s="276" t="str">
        <f>IF($C18="","",VLOOKUP($C18,'분양가테이블(부가세기입X)'!$A$6:$AF$400,18,FALSE))</f>
        <v/>
      </c>
      <c r="AV18" s="277"/>
      <c r="AW18" s="277"/>
      <c r="AX18" s="278"/>
      <c r="AY18" s="2"/>
      <c r="AZ18" s="11"/>
      <c r="BA18" s="2"/>
      <c r="BB18" s="1"/>
    </row>
    <row r="19" spans="1:54" ht="39.950000000000003" customHeight="1">
      <c r="A19" s="11"/>
      <c r="B19" s="2"/>
      <c r="C19" s="180"/>
      <c r="D19" s="181"/>
      <c r="E19" s="285" t="str">
        <f>IF($C19="","",VLOOKUP($C19,'분양가테이블(부가세기입X)'!$A$6:$AF$400,2,FALSE))</f>
        <v/>
      </c>
      <c r="F19" s="286"/>
      <c r="G19" s="286"/>
      <c r="H19" s="287"/>
      <c r="I19" s="288" t="str">
        <f>IF($C19="","",VLOOKUP($C19,'분양가테이블(부가세기입X)'!$A$6:$AF$400,3,FALSE))</f>
        <v/>
      </c>
      <c r="J19" s="289"/>
      <c r="K19" s="275" t="str">
        <f>IF($C19="","",VLOOKUP($C19,'분양가테이블(부가세기입X)'!$A$6:$AF$400,4,FALSE))</f>
        <v/>
      </c>
      <c r="L19" s="275"/>
      <c r="M19" s="275" t="str">
        <f>IF($C19="","",VLOOKUP($C19,'분양가테이블(부가세기입X)'!$A$6:$AF$400,5,FALSE))</f>
        <v/>
      </c>
      <c r="N19" s="275"/>
      <c r="O19" s="275" t="str">
        <f>IF($C19="","",VLOOKUP($C19,'분양가테이블(부가세기입X)'!$A$6:$AF$400,12,FALSE))</f>
        <v/>
      </c>
      <c r="P19" s="275"/>
      <c r="Q19" s="275" t="str">
        <f>IF($C19="","",VLOOKUP($C19,'분양가테이블(부가세기입X)'!$A$6:$AF$400,13,FALSE))</f>
        <v/>
      </c>
      <c r="R19" s="275"/>
      <c r="S19" s="275" t="str">
        <f>IF($C19="","",VLOOKUP($C19,'분양가테이블(부가세기입X)'!$A$6:$AF$400,6,FALSE))</f>
        <v/>
      </c>
      <c r="T19" s="275"/>
      <c r="U19" s="275" t="str">
        <f>IF($C19="","",VLOOKUP($C19,'분양가테이블(부가세기입X)'!$A$6:$AF$400,7,FALSE))</f>
        <v/>
      </c>
      <c r="V19" s="275"/>
      <c r="W19" s="279" t="str">
        <f>IF($C19="","",VLOOKUP($C19,'분양가테이블(부가세기입X)'!$A$6:$AF$400,17,FALSE))</f>
        <v/>
      </c>
      <c r="X19" s="280"/>
      <c r="Y19" s="280"/>
      <c r="Z19" s="281"/>
      <c r="AA19" s="279" t="str">
        <f>IF($C19="","",VLOOKUP($C19,'분양가테이블(부가세기입X)'!$A$6:$AF$400,23,FALSE))</f>
        <v/>
      </c>
      <c r="AB19" s="280"/>
      <c r="AC19" s="280"/>
      <c r="AD19" s="281"/>
      <c r="AE19" s="279" t="str">
        <f>IF($C19="","",VLOOKUP($C19,'분양가테이블(부가세기입X)'!$A$6:$AF$400,24,FALSE))</f>
        <v/>
      </c>
      <c r="AF19" s="280"/>
      <c r="AG19" s="280"/>
      <c r="AH19" s="281"/>
      <c r="AI19" s="279" t="str">
        <f>IF($C19="","",VLOOKUP($C19,'분양가테이블(부가세기입X)'!$A$6:$AF$400,26,FALSE))</f>
        <v/>
      </c>
      <c r="AJ19" s="280"/>
      <c r="AK19" s="280"/>
      <c r="AL19" s="281"/>
      <c r="AM19" s="282"/>
      <c r="AN19" s="282"/>
      <c r="AO19" s="282"/>
      <c r="AP19" s="282"/>
      <c r="AQ19" s="279" t="str">
        <f t="shared" si="0"/>
        <v/>
      </c>
      <c r="AR19" s="280"/>
      <c r="AS19" s="280"/>
      <c r="AT19" s="281"/>
      <c r="AU19" s="276" t="str">
        <f>IF($C19="","",VLOOKUP($C19,'분양가테이블(부가세기입X)'!$A$6:$AF$400,18,FALSE))</f>
        <v/>
      </c>
      <c r="AV19" s="277"/>
      <c r="AW19" s="277"/>
      <c r="AX19" s="278"/>
      <c r="AY19" s="2"/>
      <c r="AZ19" s="11"/>
      <c r="BA19" s="2"/>
      <c r="BB19" s="1"/>
    </row>
    <row r="20" spans="1:54" ht="39.950000000000003" customHeight="1">
      <c r="A20" s="11"/>
      <c r="B20" s="2"/>
      <c r="C20" s="180"/>
      <c r="D20" s="181"/>
      <c r="E20" s="285" t="str">
        <f>IF($C20="","",VLOOKUP($C20,'분양가테이블(부가세기입X)'!$A$6:$AF$400,2,FALSE))</f>
        <v/>
      </c>
      <c r="F20" s="286"/>
      <c r="G20" s="286"/>
      <c r="H20" s="287"/>
      <c r="I20" s="288" t="str">
        <f>IF($C20="","",VLOOKUP($C20,'분양가테이블(부가세기입X)'!$A$6:$AF$400,3,FALSE))</f>
        <v/>
      </c>
      <c r="J20" s="289"/>
      <c r="K20" s="275" t="str">
        <f>IF($C20="","",VLOOKUP($C20,'분양가테이블(부가세기입X)'!$A$6:$AF$400,4,FALSE))</f>
        <v/>
      </c>
      <c r="L20" s="275"/>
      <c r="M20" s="275" t="str">
        <f>IF($C20="","",VLOOKUP($C20,'분양가테이블(부가세기입X)'!$A$6:$AF$400,5,FALSE))</f>
        <v/>
      </c>
      <c r="N20" s="275"/>
      <c r="O20" s="275" t="str">
        <f>IF($C20="","",VLOOKUP($C20,'분양가테이블(부가세기입X)'!$A$6:$AF$400,12,FALSE))</f>
        <v/>
      </c>
      <c r="P20" s="275"/>
      <c r="Q20" s="275" t="str">
        <f>IF($C20="","",VLOOKUP($C20,'분양가테이블(부가세기입X)'!$A$6:$AF$400,13,FALSE))</f>
        <v/>
      </c>
      <c r="R20" s="275"/>
      <c r="S20" s="275" t="str">
        <f>IF($C20="","",VLOOKUP($C20,'분양가테이블(부가세기입X)'!$A$6:$AF$400,6,FALSE))</f>
        <v/>
      </c>
      <c r="T20" s="275"/>
      <c r="U20" s="275" t="str">
        <f>IF($C20="","",VLOOKUP($C20,'분양가테이블(부가세기입X)'!$A$6:$AF$400,7,FALSE))</f>
        <v/>
      </c>
      <c r="V20" s="275"/>
      <c r="W20" s="279" t="str">
        <f>IF($C20="","",VLOOKUP($C20,'분양가테이블(부가세기입X)'!$A$6:$AF$400,17,FALSE))</f>
        <v/>
      </c>
      <c r="X20" s="280"/>
      <c r="Y20" s="280"/>
      <c r="Z20" s="281"/>
      <c r="AA20" s="279" t="str">
        <f>IF($C20="","",VLOOKUP($C20,'분양가테이블(부가세기입X)'!$A$6:$AF$400,23,FALSE))</f>
        <v/>
      </c>
      <c r="AB20" s="280"/>
      <c r="AC20" s="280"/>
      <c r="AD20" s="281"/>
      <c r="AE20" s="279" t="str">
        <f>IF($C20="","",VLOOKUP($C20,'분양가테이블(부가세기입X)'!$A$6:$AF$400,24,FALSE))</f>
        <v/>
      </c>
      <c r="AF20" s="280"/>
      <c r="AG20" s="280"/>
      <c r="AH20" s="281"/>
      <c r="AI20" s="279" t="str">
        <f>IF($C20="","",VLOOKUP($C20,'분양가테이블(부가세기입X)'!$A$6:$AF$400,26,FALSE))</f>
        <v/>
      </c>
      <c r="AJ20" s="280"/>
      <c r="AK20" s="280"/>
      <c r="AL20" s="281"/>
      <c r="AM20" s="282"/>
      <c r="AN20" s="282"/>
      <c r="AO20" s="282"/>
      <c r="AP20" s="282"/>
      <c r="AQ20" s="279" t="str">
        <f t="shared" si="0"/>
        <v/>
      </c>
      <c r="AR20" s="280"/>
      <c r="AS20" s="280"/>
      <c r="AT20" s="281"/>
      <c r="AU20" s="276" t="str">
        <f>IF($C20="","",VLOOKUP($C20,'분양가테이블(부가세기입X)'!$A$6:$AF$400,18,FALSE))</f>
        <v/>
      </c>
      <c r="AV20" s="277"/>
      <c r="AW20" s="277"/>
      <c r="AX20" s="278"/>
      <c r="AY20" s="2"/>
      <c r="AZ20" s="11"/>
      <c r="BA20" s="2"/>
      <c r="BB20" s="1"/>
    </row>
    <row r="21" spans="1:54" ht="39.950000000000003" customHeight="1">
      <c r="A21" s="11"/>
      <c r="B21" s="2"/>
      <c r="C21" s="180"/>
      <c r="D21" s="181"/>
      <c r="E21" s="285" t="str">
        <f>IF($C21="","",VLOOKUP($C21,'분양가테이블(부가세기입X)'!$A$6:$AF$400,2,FALSE))</f>
        <v/>
      </c>
      <c r="F21" s="286"/>
      <c r="G21" s="286"/>
      <c r="H21" s="287"/>
      <c r="I21" s="288" t="str">
        <f>IF($C21="","",VLOOKUP($C21,'분양가테이블(부가세기입X)'!$A$6:$AF$400,3,FALSE))</f>
        <v/>
      </c>
      <c r="J21" s="289"/>
      <c r="K21" s="275" t="str">
        <f>IF($C21="","",VLOOKUP($C21,'분양가테이블(부가세기입X)'!$A$6:$AF$400,4,FALSE))</f>
        <v/>
      </c>
      <c r="L21" s="275"/>
      <c r="M21" s="275" t="str">
        <f>IF($C21="","",VLOOKUP($C21,'분양가테이블(부가세기입X)'!$A$6:$AF$400,5,FALSE))</f>
        <v/>
      </c>
      <c r="N21" s="275"/>
      <c r="O21" s="275" t="str">
        <f>IF($C21="","",VLOOKUP($C21,'분양가테이블(부가세기입X)'!$A$6:$AF$400,12,FALSE))</f>
        <v/>
      </c>
      <c r="P21" s="275"/>
      <c r="Q21" s="275" t="str">
        <f>IF($C21="","",VLOOKUP($C21,'분양가테이블(부가세기입X)'!$A$6:$AF$400,13,FALSE))</f>
        <v/>
      </c>
      <c r="R21" s="275"/>
      <c r="S21" s="275" t="str">
        <f>IF($C21="","",VLOOKUP($C21,'분양가테이블(부가세기입X)'!$A$6:$AF$400,6,FALSE))</f>
        <v/>
      </c>
      <c r="T21" s="275"/>
      <c r="U21" s="275" t="str">
        <f>IF($C21="","",VLOOKUP($C21,'분양가테이블(부가세기입X)'!$A$6:$AF$400,7,FALSE))</f>
        <v/>
      </c>
      <c r="V21" s="275"/>
      <c r="W21" s="279" t="str">
        <f>IF($C21="","",VLOOKUP($C21,'분양가테이블(부가세기입X)'!$A$6:$AF$400,17,FALSE))</f>
        <v/>
      </c>
      <c r="X21" s="280"/>
      <c r="Y21" s="280"/>
      <c r="Z21" s="281"/>
      <c r="AA21" s="279" t="str">
        <f>IF($C21="","",VLOOKUP($C21,'분양가테이블(부가세기입X)'!$A$6:$AF$400,23,FALSE))</f>
        <v/>
      </c>
      <c r="AB21" s="280"/>
      <c r="AC21" s="280"/>
      <c r="AD21" s="281"/>
      <c r="AE21" s="279" t="str">
        <f>IF($C21="","",VLOOKUP($C21,'분양가테이블(부가세기입X)'!$A$6:$AF$400,24,FALSE))</f>
        <v/>
      </c>
      <c r="AF21" s="280"/>
      <c r="AG21" s="280"/>
      <c r="AH21" s="281"/>
      <c r="AI21" s="279" t="str">
        <f>IF($C21="","",VLOOKUP($C21,'분양가테이블(부가세기입X)'!$A$6:$AF$400,26,FALSE))</f>
        <v/>
      </c>
      <c r="AJ21" s="280"/>
      <c r="AK21" s="280"/>
      <c r="AL21" s="281"/>
      <c r="AM21" s="282"/>
      <c r="AN21" s="282"/>
      <c r="AO21" s="282"/>
      <c r="AP21" s="282"/>
      <c r="AQ21" s="279" t="str">
        <f t="shared" si="0"/>
        <v/>
      </c>
      <c r="AR21" s="280"/>
      <c r="AS21" s="280"/>
      <c r="AT21" s="281"/>
      <c r="AU21" s="276" t="str">
        <f>IF($C21="","",VLOOKUP($C21,'분양가테이블(부가세기입X)'!$A$6:$AF$400,18,FALSE))</f>
        <v/>
      </c>
      <c r="AV21" s="277"/>
      <c r="AW21" s="277"/>
      <c r="AX21" s="278"/>
      <c r="AY21" s="2"/>
      <c r="AZ21" s="11"/>
      <c r="BA21" s="2"/>
      <c r="BB21" s="1"/>
    </row>
    <row r="22" spans="1:54" ht="39.950000000000003" customHeight="1">
      <c r="A22" s="11"/>
      <c r="B22" s="2"/>
      <c r="C22" s="180"/>
      <c r="D22" s="181"/>
      <c r="E22" s="285" t="str">
        <f>IF($C22="","",VLOOKUP($C22,'분양가테이블(부가세기입X)'!$A$6:$AF$400,2,FALSE))</f>
        <v/>
      </c>
      <c r="F22" s="286"/>
      <c r="G22" s="286"/>
      <c r="H22" s="287"/>
      <c r="I22" s="288" t="str">
        <f>IF($C22="","",VLOOKUP($C22,'분양가테이블(부가세기입X)'!$A$6:$AF$400,3,FALSE))</f>
        <v/>
      </c>
      <c r="J22" s="289"/>
      <c r="K22" s="275" t="str">
        <f>IF($C22="","",VLOOKUP($C22,'분양가테이블(부가세기입X)'!$A$6:$AF$400,4,FALSE))</f>
        <v/>
      </c>
      <c r="L22" s="275"/>
      <c r="M22" s="275" t="str">
        <f>IF($C22="","",VLOOKUP($C22,'분양가테이블(부가세기입X)'!$A$6:$AF$400,5,FALSE))</f>
        <v/>
      </c>
      <c r="N22" s="275"/>
      <c r="O22" s="275" t="str">
        <f>IF($C22="","",VLOOKUP($C22,'분양가테이블(부가세기입X)'!$A$6:$AF$400,12,FALSE))</f>
        <v/>
      </c>
      <c r="P22" s="275"/>
      <c r="Q22" s="275" t="str">
        <f>IF($C22="","",VLOOKUP($C22,'분양가테이블(부가세기입X)'!$A$6:$AF$400,13,FALSE))</f>
        <v/>
      </c>
      <c r="R22" s="275"/>
      <c r="S22" s="275" t="str">
        <f>IF($C22="","",VLOOKUP($C22,'분양가테이블(부가세기입X)'!$A$6:$AF$400,6,FALSE))</f>
        <v/>
      </c>
      <c r="T22" s="275"/>
      <c r="U22" s="275" t="str">
        <f>IF($C22="","",VLOOKUP($C22,'분양가테이블(부가세기입X)'!$A$6:$AF$400,7,FALSE))</f>
        <v/>
      </c>
      <c r="V22" s="275"/>
      <c r="W22" s="279" t="str">
        <f>IF($C22="","",VLOOKUP($C22,'분양가테이블(부가세기입X)'!$A$6:$AF$400,17,FALSE))</f>
        <v/>
      </c>
      <c r="X22" s="280"/>
      <c r="Y22" s="280"/>
      <c r="Z22" s="281"/>
      <c r="AA22" s="279" t="str">
        <f>IF($C22="","",VLOOKUP($C22,'분양가테이블(부가세기입X)'!$A$6:$AF$400,23,FALSE))</f>
        <v/>
      </c>
      <c r="AB22" s="280"/>
      <c r="AC22" s="280"/>
      <c r="AD22" s="281"/>
      <c r="AE22" s="279" t="str">
        <f>IF($C22="","",VLOOKUP($C22,'분양가테이블(부가세기입X)'!$A$6:$AF$400,24,FALSE))</f>
        <v/>
      </c>
      <c r="AF22" s="280"/>
      <c r="AG22" s="280"/>
      <c r="AH22" s="281"/>
      <c r="AI22" s="279" t="str">
        <f>IF($C22="","",VLOOKUP($C22,'분양가테이블(부가세기입X)'!$A$6:$AF$400,26,FALSE))</f>
        <v/>
      </c>
      <c r="AJ22" s="280"/>
      <c r="AK22" s="280"/>
      <c r="AL22" s="281"/>
      <c r="AM22" s="282"/>
      <c r="AN22" s="282"/>
      <c r="AO22" s="282"/>
      <c r="AP22" s="282"/>
      <c r="AQ22" s="279" t="str">
        <f t="shared" si="0"/>
        <v/>
      </c>
      <c r="AR22" s="280"/>
      <c r="AS22" s="280"/>
      <c r="AT22" s="281"/>
      <c r="AU22" s="276" t="str">
        <f>IF($C22="","",VLOOKUP($C22,'분양가테이블(부가세기입X)'!$A$6:$AF$400,18,FALSE))</f>
        <v/>
      </c>
      <c r="AV22" s="277"/>
      <c r="AW22" s="277"/>
      <c r="AX22" s="278"/>
      <c r="AY22" s="2"/>
      <c r="AZ22" s="11"/>
      <c r="BA22" s="2"/>
      <c r="BB22" s="1"/>
    </row>
    <row r="23" spans="1:54" ht="39.950000000000003" customHeight="1">
      <c r="A23" s="11"/>
      <c r="B23" s="2"/>
      <c r="C23" s="180"/>
      <c r="D23" s="181"/>
      <c r="E23" s="285" t="str">
        <f>IF($C23="","",VLOOKUP($C23,'분양가테이블(부가세기입X)'!$A$6:$AF$400,2,FALSE))</f>
        <v/>
      </c>
      <c r="F23" s="286"/>
      <c r="G23" s="286"/>
      <c r="H23" s="287"/>
      <c r="I23" s="288" t="str">
        <f>IF($C23="","",VLOOKUP($C23,'분양가테이블(부가세기입X)'!$A$6:$AF$400,3,FALSE))</f>
        <v/>
      </c>
      <c r="J23" s="289"/>
      <c r="K23" s="275" t="str">
        <f>IF($C23="","",VLOOKUP($C23,'분양가테이블(부가세기입X)'!$A$6:$AF$400,4,FALSE))</f>
        <v/>
      </c>
      <c r="L23" s="275"/>
      <c r="M23" s="275" t="str">
        <f>IF($C23="","",VLOOKUP($C23,'분양가테이블(부가세기입X)'!$A$6:$AF$400,5,FALSE))</f>
        <v/>
      </c>
      <c r="N23" s="275"/>
      <c r="O23" s="275" t="str">
        <f>IF($C23="","",VLOOKUP($C23,'분양가테이블(부가세기입X)'!$A$6:$AF$400,12,FALSE))</f>
        <v/>
      </c>
      <c r="P23" s="275"/>
      <c r="Q23" s="275" t="str">
        <f>IF($C23="","",VLOOKUP($C23,'분양가테이블(부가세기입X)'!$A$6:$AF$400,13,FALSE))</f>
        <v/>
      </c>
      <c r="R23" s="275"/>
      <c r="S23" s="275" t="str">
        <f>IF($C23="","",VLOOKUP($C23,'분양가테이블(부가세기입X)'!$A$6:$AF$400,6,FALSE))</f>
        <v/>
      </c>
      <c r="T23" s="275"/>
      <c r="U23" s="275" t="str">
        <f>IF($C23="","",VLOOKUP($C23,'분양가테이블(부가세기입X)'!$A$6:$AF$400,7,FALSE))</f>
        <v/>
      </c>
      <c r="V23" s="275"/>
      <c r="W23" s="279" t="str">
        <f>IF($C23="","",VLOOKUP($C23,'분양가테이블(부가세기입X)'!$A$6:$AF$400,17,FALSE))</f>
        <v/>
      </c>
      <c r="X23" s="280"/>
      <c r="Y23" s="280"/>
      <c r="Z23" s="281"/>
      <c r="AA23" s="279" t="str">
        <f>IF($C23="","",VLOOKUP($C23,'분양가테이블(부가세기입X)'!$A$6:$AF$400,23,FALSE))</f>
        <v/>
      </c>
      <c r="AB23" s="280"/>
      <c r="AC23" s="280"/>
      <c r="AD23" s="281"/>
      <c r="AE23" s="279" t="str">
        <f>IF($C23="","",VLOOKUP($C23,'분양가테이블(부가세기입X)'!$A$6:$AF$400,24,FALSE))</f>
        <v/>
      </c>
      <c r="AF23" s="280"/>
      <c r="AG23" s="280"/>
      <c r="AH23" s="281"/>
      <c r="AI23" s="279" t="str">
        <f>IF($C23="","",VLOOKUP($C23,'분양가테이블(부가세기입X)'!$A$6:$AF$400,26,FALSE))</f>
        <v/>
      </c>
      <c r="AJ23" s="280"/>
      <c r="AK23" s="280"/>
      <c r="AL23" s="281"/>
      <c r="AM23" s="282"/>
      <c r="AN23" s="282"/>
      <c r="AO23" s="282"/>
      <c r="AP23" s="282"/>
      <c r="AQ23" s="279" t="str">
        <f t="shared" si="0"/>
        <v/>
      </c>
      <c r="AR23" s="280"/>
      <c r="AS23" s="280"/>
      <c r="AT23" s="281"/>
      <c r="AU23" s="276" t="str">
        <f>IF($C23="","",VLOOKUP($C23,'분양가테이블(부가세기입X)'!$A$6:$AF$400,18,FALSE))</f>
        <v/>
      </c>
      <c r="AV23" s="277"/>
      <c r="AW23" s="277"/>
      <c r="AX23" s="278"/>
      <c r="AY23" s="2"/>
      <c r="AZ23" s="11"/>
      <c r="BA23" s="2"/>
      <c r="BB23" s="1"/>
    </row>
    <row r="24" spans="1:54" ht="39.950000000000003" customHeight="1">
      <c r="A24" s="11"/>
      <c r="B24" s="2"/>
      <c r="C24" s="180"/>
      <c r="D24" s="181"/>
      <c r="E24" s="285" t="str">
        <f>IF($C24="","",VLOOKUP($C24,'분양가테이블(부가세기입X)'!$A$6:$AF$400,2,FALSE))</f>
        <v/>
      </c>
      <c r="F24" s="286"/>
      <c r="G24" s="286"/>
      <c r="H24" s="287"/>
      <c r="I24" s="288" t="str">
        <f>IF($C24="","",VLOOKUP($C24,'분양가테이블(부가세기입X)'!$A$6:$AF$400,3,FALSE))</f>
        <v/>
      </c>
      <c r="J24" s="289"/>
      <c r="K24" s="275" t="str">
        <f>IF($C24="","",VLOOKUP($C24,'분양가테이블(부가세기입X)'!$A$6:$AF$400,4,FALSE))</f>
        <v/>
      </c>
      <c r="L24" s="275"/>
      <c r="M24" s="275" t="str">
        <f>IF($C24="","",VLOOKUP($C24,'분양가테이블(부가세기입X)'!$A$6:$AF$400,5,FALSE))</f>
        <v/>
      </c>
      <c r="N24" s="275"/>
      <c r="O24" s="275" t="str">
        <f>IF($C24="","",VLOOKUP($C24,'분양가테이블(부가세기입X)'!$A$6:$AF$400,12,FALSE))</f>
        <v/>
      </c>
      <c r="P24" s="275"/>
      <c r="Q24" s="275" t="str">
        <f>IF($C24="","",VLOOKUP($C24,'분양가테이블(부가세기입X)'!$A$6:$AF$400,13,FALSE))</f>
        <v/>
      </c>
      <c r="R24" s="275"/>
      <c r="S24" s="275" t="str">
        <f>IF($C24="","",VLOOKUP($C24,'분양가테이블(부가세기입X)'!$A$6:$AF$400,6,FALSE))</f>
        <v/>
      </c>
      <c r="T24" s="275"/>
      <c r="U24" s="275" t="str">
        <f>IF($C24="","",VLOOKUP($C24,'분양가테이블(부가세기입X)'!$A$6:$AF$400,7,FALSE))</f>
        <v/>
      </c>
      <c r="V24" s="275"/>
      <c r="W24" s="279" t="str">
        <f>IF($C24="","",VLOOKUP($C24,'분양가테이블(부가세기입X)'!$A$6:$AF$400,17,FALSE))</f>
        <v/>
      </c>
      <c r="X24" s="280"/>
      <c r="Y24" s="280"/>
      <c r="Z24" s="281"/>
      <c r="AA24" s="279" t="str">
        <f>IF($C24="","",VLOOKUP($C24,'분양가테이블(부가세기입X)'!$A$6:$AF$400,23,FALSE))</f>
        <v/>
      </c>
      <c r="AB24" s="280"/>
      <c r="AC24" s="280"/>
      <c r="AD24" s="281"/>
      <c r="AE24" s="279" t="str">
        <f>IF($C24="","",VLOOKUP($C24,'분양가테이블(부가세기입X)'!$A$6:$AF$400,24,FALSE))</f>
        <v/>
      </c>
      <c r="AF24" s="280"/>
      <c r="AG24" s="280"/>
      <c r="AH24" s="281"/>
      <c r="AI24" s="279" t="str">
        <f>IF($C24="","",VLOOKUP($C24,'분양가테이블(부가세기입X)'!$A$6:$AF$400,26,FALSE))</f>
        <v/>
      </c>
      <c r="AJ24" s="280"/>
      <c r="AK24" s="280"/>
      <c r="AL24" s="281"/>
      <c r="AM24" s="282"/>
      <c r="AN24" s="282"/>
      <c r="AO24" s="282"/>
      <c r="AP24" s="282"/>
      <c r="AQ24" s="279" t="str">
        <f t="shared" si="0"/>
        <v/>
      </c>
      <c r="AR24" s="280"/>
      <c r="AS24" s="280"/>
      <c r="AT24" s="281"/>
      <c r="AU24" s="276" t="str">
        <f>IF($C24="","",VLOOKUP($C24,'분양가테이블(부가세기입X)'!$A$6:$AF$400,18,FALSE))</f>
        <v/>
      </c>
      <c r="AV24" s="277"/>
      <c r="AW24" s="277"/>
      <c r="AX24" s="278"/>
      <c r="AY24" s="2"/>
      <c r="AZ24" s="11"/>
      <c r="BA24" s="2"/>
      <c r="BB24" s="1"/>
    </row>
    <row r="25" spans="1:54" ht="39.950000000000003" customHeight="1">
      <c r="A25" s="11"/>
      <c r="B25" s="2"/>
      <c r="C25" s="180"/>
      <c r="D25" s="181"/>
      <c r="E25" s="285" t="str">
        <f>IF($C25="","",VLOOKUP($C25,'분양가테이블(부가세기입X)'!$A$6:$AF$400,2,FALSE))</f>
        <v/>
      </c>
      <c r="F25" s="286"/>
      <c r="G25" s="286"/>
      <c r="H25" s="287"/>
      <c r="I25" s="288" t="str">
        <f>IF($C25="","",VLOOKUP($C25,'분양가테이블(부가세기입X)'!$A$6:$AF$400,3,FALSE))</f>
        <v/>
      </c>
      <c r="J25" s="289"/>
      <c r="K25" s="275" t="str">
        <f>IF($C25="","",VLOOKUP($C25,'분양가테이블(부가세기입X)'!$A$6:$AF$400,4,FALSE))</f>
        <v/>
      </c>
      <c r="L25" s="275"/>
      <c r="M25" s="275" t="str">
        <f>IF($C25="","",VLOOKUP($C25,'분양가테이블(부가세기입X)'!$A$6:$AF$400,5,FALSE))</f>
        <v/>
      </c>
      <c r="N25" s="275"/>
      <c r="O25" s="275" t="str">
        <f>IF($C25="","",VLOOKUP($C25,'분양가테이블(부가세기입X)'!$A$6:$AF$400,12,FALSE))</f>
        <v/>
      </c>
      <c r="P25" s="275"/>
      <c r="Q25" s="275" t="str">
        <f>IF($C25="","",VLOOKUP($C25,'분양가테이블(부가세기입X)'!$A$6:$AF$400,13,FALSE))</f>
        <v/>
      </c>
      <c r="R25" s="275"/>
      <c r="S25" s="275" t="str">
        <f>IF($C25="","",VLOOKUP($C25,'분양가테이블(부가세기입X)'!$A$6:$AF$400,6,FALSE))</f>
        <v/>
      </c>
      <c r="T25" s="275"/>
      <c r="U25" s="275" t="str">
        <f>IF($C25="","",VLOOKUP($C25,'분양가테이블(부가세기입X)'!$A$6:$AF$400,7,FALSE))</f>
        <v/>
      </c>
      <c r="V25" s="275"/>
      <c r="W25" s="279" t="str">
        <f>IF($C25="","",VLOOKUP($C25,'분양가테이블(부가세기입X)'!$A$6:$AF$400,17,FALSE))</f>
        <v/>
      </c>
      <c r="X25" s="280"/>
      <c r="Y25" s="280"/>
      <c r="Z25" s="281"/>
      <c r="AA25" s="279" t="str">
        <f>IF($C25="","",VLOOKUP($C25,'분양가테이블(부가세기입X)'!$A$6:$AF$400,23,FALSE))</f>
        <v/>
      </c>
      <c r="AB25" s="280"/>
      <c r="AC25" s="280"/>
      <c r="AD25" s="281"/>
      <c r="AE25" s="279" t="str">
        <f>IF($C25="","",VLOOKUP($C25,'분양가테이블(부가세기입X)'!$A$6:$AF$400,24,FALSE))</f>
        <v/>
      </c>
      <c r="AF25" s="280"/>
      <c r="AG25" s="280"/>
      <c r="AH25" s="281"/>
      <c r="AI25" s="279" t="str">
        <f>IF($C25="","",VLOOKUP($C25,'분양가테이블(부가세기입X)'!$A$6:$AF$400,26,FALSE))</f>
        <v/>
      </c>
      <c r="AJ25" s="280"/>
      <c r="AK25" s="280"/>
      <c r="AL25" s="281"/>
      <c r="AM25" s="282"/>
      <c r="AN25" s="282"/>
      <c r="AO25" s="282"/>
      <c r="AP25" s="282"/>
      <c r="AQ25" s="279" t="str">
        <f t="shared" si="0"/>
        <v/>
      </c>
      <c r="AR25" s="280"/>
      <c r="AS25" s="280"/>
      <c r="AT25" s="281"/>
      <c r="AU25" s="276" t="str">
        <f>IF($C25="","",VLOOKUP($C25,'분양가테이블(부가세기입X)'!$A$6:$AF$400,18,FALSE))</f>
        <v/>
      </c>
      <c r="AV25" s="277"/>
      <c r="AW25" s="277"/>
      <c r="AX25" s="278"/>
      <c r="AY25" s="2"/>
      <c r="AZ25" s="11"/>
      <c r="BA25" s="2"/>
      <c r="BB25" s="1"/>
    </row>
    <row r="26" spans="1:54" ht="39.950000000000003" customHeight="1">
      <c r="A26" s="11"/>
      <c r="B26" s="2"/>
      <c r="C26" s="180"/>
      <c r="D26" s="181"/>
      <c r="E26" s="285" t="str">
        <f>IF($C26="","",VLOOKUP($C26,'분양가테이블(부가세기입X)'!$A$6:$AF$400,2,FALSE))</f>
        <v/>
      </c>
      <c r="F26" s="286"/>
      <c r="G26" s="286"/>
      <c r="H26" s="287"/>
      <c r="I26" s="288" t="str">
        <f>IF($C26="","",VLOOKUP($C26,'분양가테이블(부가세기입X)'!$A$6:$AF$400,3,FALSE))</f>
        <v/>
      </c>
      <c r="J26" s="289"/>
      <c r="K26" s="275" t="str">
        <f>IF($C26="","",VLOOKUP($C26,'분양가테이블(부가세기입X)'!$A$6:$AF$400,4,FALSE))</f>
        <v/>
      </c>
      <c r="L26" s="275"/>
      <c r="M26" s="275" t="str">
        <f>IF($C26="","",VLOOKUP($C26,'분양가테이블(부가세기입X)'!$A$6:$AF$400,5,FALSE))</f>
        <v/>
      </c>
      <c r="N26" s="275"/>
      <c r="O26" s="275" t="str">
        <f>IF($C26="","",VLOOKUP($C26,'분양가테이블(부가세기입X)'!$A$6:$AF$400,12,FALSE))</f>
        <v/>
      </c>
      <c r="P26" s="275"/>
      <c r="Q26" s="275" t="str">
        <f>IF($C26="","",VLOOKUP($C26,'분양가테이블(부가세기입X)'!$A$6:$AF$400,13,FALSE))</f>
        <v/>
      </c>
      <c r="R26" s="275"/>
      <c r="S26" s="275" t="str">
        <f>IF($C26="","",VLOOKUP($C26,'분양가테이블(부가세기입X)'!$A$6:$AF$400,6,FALSE))</f>
        <v/>
      </c>
      <c r="T26" s="275"/>
      <c r="U26" s="275" t="str">
        <f>IF($C26="","",VLOOKUP($C26,'분양가테이블(부가세기입X)'!$A$6:$AF$400,7,FALSE))</f>
        <v/>
      </c>
      <c r="V26" s="275"/>
      <c r="W26" s="279" t="str">
        <f>IF($C26="","",VLOOKUP($C26,'분양가테이블(부가세기입X)'!$A$6:$AF$400,17,FALSE))</f>
        <v/>
      </c>
      <c r="X26" s="280"/>
      <c r="Y26" s="280"/>
      <c r="Z26" s="281"/>
      <c r="AA26" s="279" t="str">
        <f>IF($C26="","",VLOOKUP($C26,'분양가테이블(부가세기입X)'!$A$6:$AF$400,23,FALSE))</f>
        <v/>
      </c>
      <c r="AB26" s="280"/>
      <c r="AC26" s="280"/>
      <c r="AD26" s="281"/>
      <c r="AE26" s="279" t="str">
        <f>IF($C26="","",VLOOKUP($C26,'분양가테이블(부가세기입X)'!$A$6:$AF$400,24,FALSE))</f>
        <v/>
      </c>
      <c r="AF26" s="280"/>
      <c r="AG26" s="280"/>
      <c r="AH26" s="281"/>
      <c r="AI26" s="279" t="str">
        <f>IF($C26="","",VLOOKUP($C26,'분양가테이블(부가세기입X)'!$A$6:$AF$400,26,FALSE))</f>
        <v/>
      </c>
      <c r="AJ26" s="280"/>
      <c r="AK26" s="280"/>
      <c r="AL26" s="281"/>
      <c r="AM26" s="282"/>
      <c r="AN26" s="282"/>
      <c r="AO26" s="282"/>
      <c r="AP26" s="282"/>
      <c r="AQ26" s="279" t="str">
        <f t="shared" si="0"/>
        <v/>
      </c>
      <c r="AR26" s="280"/>
      <c r="AS26" s="280"/>
      <c r="AT26" s="281"/>
      <c r="AU26" s="276" t="str">
        <f>IF($C26="","",VLOOKUP($C26,'분양가테이블(부가세기입X)'!$A$6:$AF$400,18,FALSE))</f>
        <v/>
      </c>
      <c r="AV26" s="277"/>
      <c r="AW26" s="277"/>
      <c r="AX26" s="278"/>
      <c r="AY26" s="2"/>
      <c r="AZ26" s="11"/>
      <c r="BA26" s="2"/>
      <c r="BB26" s="1"/>
    </row>
    <row r="27" spans="1:54" ht="39.950000000000003" customHeight="1">
      <c r="A27" s="11"/>
      <c r="B27" s="2"/>
      <c r="C27" s="180"/>
      <c r="D27" s="181"/>
      <c r="E27" s="285" t="str">
        <f>IF($C27="","",VLOOKUP($C27,'분양가테이블(부가세기입X)'!$A$6:$AF$400,2,FALSE))</f>
        <v/>
      </c>
      <c r="F27" s="286"/>
      <c r="G27" s="286"/>
      <c r="H27" s="287"/>
      <c r="I27" s="288" t="str">
        <f>IF($C27="","",VLOOKUP($C27,'분양가테이블(부가세기입X)'!$A$6:$AF$400,3,FALSE))</f>
        <v/>
      </c>
      <c r="J27" s="289"/>
      <c r="K27" s="275" t="str">
        <f>IF($C27="","",VLOOKUP($C27,'분양가테이블(부가세기입X)'!$A$6:$AF$400,4,FALSE))</f>
        <v/>
      </c>
      <c r="L27" s="275"/>
      <c r="M27" s="275" t="str">
        <f>IF($C27="","",VLOOKUP($C27,'분양가테이블(부가세기입X)'!$A$6:$AF$400,5,FALSE))</f>
        <v/>
      </c>
      <c r="N27" s="275"/>
      <c r="O27" s="275" t="str">
        <f>IF($C27="","",VLOOKUP($C27,'분양가테이블(부가세기입X)'!$A$6:$AF$400,12,FALSE))</f>
        <v/>
      </c>
      <c r="P27" s="275"/>
      <c r="Q27" s="275" t="str">
        <f>IF($C27="","",VLOOKUP($C27,'분양가테이블(부가세기입X)'!$A$6:$AF$400,13,FALSE))</f>
        <v/>
      </c>
      <c r="R27" s="275"/>
      <c r="S27" s="275" t="str">
        <f>IF($C27="","",VLOOKUP($C27,'분양가테이블(부가세기입X)'!$A$6:$AF$400,6,FALSE))</f>
        <v/>
      </c>
      <c r="T27" s="275"/>
      <c r="U27" s="275" t="str">
        <f>IF($C27="","",VLOOKUP($C27,'분양가테이블(부가세기입X)'!$A$6:$AF$400,7,FALSE))</f>
        <v/>
      </c>
      <c r="V27" s="275"/>
      <c r="W27" s="279" t="str">
        <f>IF($C27="","",VLOOKUP($C27,'분양가테이블(부가세기입X)'!$A$6:$AF$400,17,FALSE))</f>
        <v/>
      </c>
      <c r="X27" s="280"/>
      <c r="Y27" s="280"/>
      <c r="Z27" s="281"/>
      <c r="AA27" s="279" t="str">
        <f>IF($C27="","",VLOOKUP($C27,'분양가테이블(부가세기입X)'!$A$6:$AF$400,23,FALSE))</f>
        <v/>
      </c>
      <c r="AB27" s="280"/>
      <c r="AC27" s="280"/>
      <c r="AD27" s="281"/>
      <c r="AE27" s="279" t="str">
        <f>IF($C27="","",VLOOKUP($C27,'분양가테이블(부가세기입X)'!$A$6:$AF$400,24,FALSE))</f>
        <v/>
      </c>
      <c r="AF27" s="280"/>
      <c r="AG27" s="280"/>
      <c r="AH27" s="281"/>
      <c r="AI27" s="279" t="str">
        <f>IF($C27="","",VLOOKUP($C27,'분양가테이블(부가세기입X)'!$A$6:$AF$400,26,FALSE))</f>
        <v/>
      </c>
      <c r="AJ27" s="280"/>
      <c r="AK27" s="280"/>
      <c r="AL27" s="281"/>
      <c r="AM27" s="282"/>
      <c r="AN27" s="282"/>
      <c r="AO27" s="282"/>
      <c r="AP27" s="282"/>
      <c r="AQ27" s="279" t="str">
        <f t="shared" si="0"/>
        <v/>
      </c>
      <c r="AR27" s="280"/>
      <c r="AS27" s="280"/>
      <c r="AT27" s="281"/>
      <c r="AU27" s="276" t="str">
        <f>IF($C27="","",VLOOKUP($C27,'분양가테이블(부가세기입X)'!$A$6:$AF$400,18,FALSE))</f>
        <v/>
      </c>
      <c r="AV27" s="277"/>
      <c r="AW27" s="277"/>
      <c r="AX27" s="278"/>
      <c r="AY27" s="2"/>
      <c r="AZ27" s="11"/>
      <c r="BA27" s="2"/>
      <c r="BB27" s="1"/>
    </row>
    <row r="28" spans="1:54" ht="39.950000000000003" customHeight="1">
      <c r="A28" s="11"/>
      <c r="B28" s="2"/>
      <c r="C28" s="180"/>
      <c r="D28" s="181"/>
      <c r="E28" s="285" t="str">
        <f>IF($C28="","",VLOOKUP($C28,'분양가테이블(부가세기입X)'!$A$6:$AF$400,2,FALSE))</f>
        <v/>
      </c>
      <c r="F28" s="286"/>
      <c r="G28" s="286"/>
      <c r="H28" s="287"/>
      <c r="I28" s="288" t="str">
        <f>IF($C28="","",VLOOKUP($C28,'분양가테이블(부가세기입X)'!$A$6:$AF$400,3,FALSE))</f>
        <v/>
      </c>
      <c r="J28" s="289"/>
      <c r="K28" s="275" t="str">
        <f>IF($C28="","",VLOOKUP($C28,'분양가테이블(부가세기입X)'!$A$6:$AF$400,4,FALSE))</f>
        <v/>
      </c>
      <c r="L28" s="275"/>
      <c r="M28" s="275" t="str">
        <f>IF($C28="","",VLOOKUP($C28,'분양가테이블(부가세기입X)'!$A$6:$AF$400,5,FALSE))</f>
        <v/>
      </c>
      <c r="N28" s="275"/>
      <c r="O28" s="275" t="str">
        <f>IF($C28="","",VLOOKUP($C28,'분양가테이블(부가세기입X)'!$A$6:$AF$400,12,FALSE))</f>
        <v/>
      </c>
      <c r="P28" s="275"/>
      <c r="Q28" s="275" t="str">
        <f>IF($C28="","",VLOOKUP($C28,'분양가테이블(부가세기입X)'!$A$6:$AF$400,13,FALSE))</f>
        <v/>
      </c>
      <c r="R28" s="275"/>
      <c r="S28" s="275" t="str">
        <f>IF($C28="","",VLOOKUP($C28,'분양가테이블(부가세기입X)'!$A$6:$AF$400,6,FALSE))</f>
        <v/>
      </c>
      <c r="T28" s="275"/>
      <c r="U28" s="275" t="str">
        <f>IF($C28="","",VLOOKUP($C28,'분양가테이블(부가세기입X)'!$A$6:$AF$400,7,FALSE))</f>
        <v/>
      </c>
      <c r="V28" s="275"/>
      <c r="W28" s="279" t="str">
        <f>IF($C28="","",VLOOKUP($C28,'분양가테이블(부가세기입X)'!$A$6:$AF$400,17,FALSE))</f>
        <v/>
      </c>
      <c r="X28" s="280"/>
      <c r="Y28" s="280"/>
      <c r="Z28" s="281"/>
      <c r="AA28" s="279" t="str">
        <f>IF($C28="","",VLOOKUP($C28,'분양가테이블(부가세기입X)'!$A$6:$AF$400,23,FALSE))</f>
        <v/>
      </c>
      <c r="AB28" s="280"/>
      <c r="AC28" s="280"/>
      <c r="AD28" s="281"/>
      <c r="AE28" s="279" t="str">
        <f>IF($C28="","",VLOOKUP($C28,'분양가테이블(부가세기입X)'!$A$6:$AF$400,24,FALSE))</f>
        <v/>
      </c>
      <c r="AF28" s="280"/>
      <c r="AG28" s="280"/>
      <c r="AH28" s="281"/>
      <c r="AI28" s="279" t="str">
        <f>IF($C28="","",VLOOKUP($C28,'분양가테이블(부가세기입X)'!$A$6:$AF$400,26,FALSE))</f>
        <v/>
      </c>
      <c r="AJ28" s="280"/>
      <c r="AK28" s="280"/>
      <c r="AL28" s="281"/>
      <c r="AM28" s="282"/>
      <c r="AN28" s="282"/>
      <c r="AO28" s="282"/>
      <c r="AP28" s="282"/>
      <c r="AQ28" s="279" t="str">
        <f t="shared" si="0"/>
        <v/>
      </c>
      <c r="AR28" s="280"/>
      <c r="AS28" s="280"/>
      <c r="AT28" s="281"/>
      <c r="AU28" s="276" t="str">
        <f>IF($C28="","",VLOOKUP($C28,'분양가테이블(부가세기입X)'!$A$6:$AF$400,18,FALSE))</f>
        <v/>
      </c>
      <c r="AV28" s="277"/>
      <c r="AW28" s="277"/>
      <c r="AX28" s="278"/>
      <c r="AY28" s="2"/>
      <c r="AZ28" s="11"/>
      <c r="BA28" s="2"/>
      <c r="BB28" s="1"/>
    </row>
    <row r="29" spans="1:54" ht="39.950000000000003" customHeight="1">
      <c r="A29" s="11"/>
      <c r="B29" s="2"/>
      <c r="C29" s="180"/>
      <c r="D29" s="181"/>
      <c r="E29" s="285" t="str">
        <f>IF($C29="","",VLOOKUP($C29,'분양가테이블(부가세기입X)'!$A$6:$AF$400,2,FALSE))</f>
        <v/>
      </c>
      <c r="F29" s="286"/>
      <c r="G29" s="286"/>
      <c r="H29" s="287"/>
      <c r="I29" s="288" t="str">
        <f>IF($C29="","",VLOOKUP($C29,'분양가테이블(부가세기입X)'!$A$6:$AF$400,3,FALSE))</f>
        <v/>
      </c>
      <c r="J29" s="289"/>
      <c r="K29" s="275" t="str">
        <f>IF($C29="","",VLOOKUP($C29,'분양가테이블(부가세기입X)'!$A$6:$AF$400,4,FALSE))</f>
        <v/>
      </c>
      <c r="L29" s="275"/>
      <c r="M29" s="275" t="str">
        <f>IF($C29="","",VLOOKUP($C29,'분양가테이블(부가세기입X)'!$A$6:$AF$400,5,FALSE))</f>
        <v/>
      </c>
      <c r="N29" s="275"/>
      <c r="O29" s="275" t="str">
        <f>IF($C29="","",VLOOKUP($C29,'분양가테이블(부가세기입X)'!$A$6:$AF$400,12,FALSE))</f>
        <v/>
      </c>
      <c r="P29" s="275"/>
      <c r="Q29" s="275" t="str">
        <f>IF($C29="","",VLOOKUP($C29,'분양가테이블(부가세기입X)'!$A$6:$AF$400,13,FALSE))</f>
        <v/>
      </c>
      <c r="R29" s="275"/>
      <c r="S29" s="275" t="str">
        <f>IF($C29="","",VLOOKUP($C29,'분양가테이블(부가세기입X)'!$A$6:$AF$400,6,FALSE))</f>
        <v/>
      </c>
      <c r="T29" s="275"/>
      <c r="U29" s="275" t="str">
        <f>IF($C29="","",VLOOKUP($C29,'분양가테이블(부가세기입X)'!$A$6:$AF$400,7,FALSE))</f>
        <v/>
      </c>
      <c r="V29" s="275"/>
      <c r="W29" s="279" t="str">
        <f>IF($C29="","",VLOOKUP($C29,'분양가테이블(부가세기입X)'!$A$6:$AF$400,17,FALSE))</f>
        <v/>
      </c>
      <c r="X29" s="280"/>
      <c r="Y29" s="280"/>
      <c r="Z29" s="281"/>
      <c r="AA29" s="279" t="str">
        <f>IF($C29="","",VLOOKUP($C29,'분양가테이블(부가세기입X)'!$A$6:$AF$400,23,FALSE))</f>
        <v/>
      </c>
      <c r="AB29" s="280"/>
      <c r="AC29" s="280"/>
      <c r="AD29" s="281"/>
      <c r="AE29" s="279" t="str">
        <f>IF($C29="","",VLOOKUP($C29,'분양가테이블(부가세기입X)'!$A$6:$AF$400,24,FALSE))</f>
        <v/>
      </c>
      <c r="AF29" s="280"/>
      <c r="AG29" s="280"/>
      <c r="AH29" s="281"/>
      <c r="AI29" s="279" t="str">
        <f>IF($C29="","",VLOOKUP($C29,'분양가테이블(부가세기입X)'!$A$6:$AF$400,26,FALSE))</f>
        <v/>
      </c>
      <c r="AJ29" s="280"/>
      <c r="AK29" s="280"/>
      <c r="AL29" s="281"/>
      <c r="AM29" s="282"/>
      <c r="AN29" s="282"/>
      <c r="AO29" s="282"/>
      <c r="AP29" s="282"/>
      <c r="AQ29" s="279" t="str">
        <f t="shared" si="0"/>
        <v/>
      </c>
      <c r="AR29" s="280"/>
      <c r="AS29" s="280"/>
      <c r="AT29" s="281"/>
      <c r="AU29" s="276" t="str">
        <f>IF($C29="","",VLOOKUP($C29,'분양가테이블(부가세기입X)'!$A$6:$AF$400,18,FALSE))</f>
        <v/>
      </c>
      <c r="AV29" s="277"/>
      <c r="AW29" s="277"/>
      <c r="AX29" s="278"/>
      <c r="AY29" s="2"/>
      <c r="AZ29" s="11"/>
      <c r="BA29" s="2"/>
      <c r="BB29" s="1"/>
    </row>
    <row r="30" spans="1:54" ht="39.950000000000003" customHeight="1">
      <c r="A30" s="11"/>
      <c r="B30" s="2"/>
      <c r="C30" s="180"/>
      <c r="D30" s="181"/>
      <c r="E30" s="285" t="str">
        <f>IF($C30="","",VLOOKUP($C30,'분양가테이블(부가세기입X)'!$A$6:$AF$400,2,FALSE))</f>
        <v/>
      </c>
      <c r="F30" s="286"/>
      <c r="G30" s="286"/>
      <c r="H30" s="287"/>
      <c r="I30" s="288" t="str">
        <f>IF($C30="","",VLOOKUP($C30,'분양가테이블(부가세기입X)'!$A$6:$AF$400,3,FALSE))</f>
        <v/>
      </c>
      <c r="J30" s="289"/>
      <c r="K30" s="275" t="str">
        <f>IF($C30="","",VLOOKUP($C30,'분양가테이블(부가세기입X)'!$A$6:$AF$400,4,FALSE))</f>
        <v/>
      </c>
      <c r="L30" s="275"/>
      <c r="M30" s="275" t="str">
        <f>IF($C30="","",VLOOKUP($C30,'분양가테이블(부가세기입X)'!$A$6:$AF$400,5,FALSE))</f>
        <v/>
      </c>
      <c r="N30" s="275"/>
      <c r="O30" s="275" t="str">
        <f>IF($C30="","",VLOOKUP($C30,'분양가테이블(부가세기입X)'!$A$6:$AF$400,12,FALSE))</f>
        <v/>
      </c>
      <c r="P30" s="275"/>
      <c r="Q30" s="275" t="str">
        <f>IF($C30="","",VLOOKUP($C30,'분양가테이블(부가세기입X)'!$A$6:$AF$400,13,FALSE))</f>
        <v/>
      </c>
      <c r="R30" s="275"/>
      <c r="S30" s="275" t="str">
        <f>IF($C30="","",VLOOKUP($C30,'분양가테이블(부가세기입X)'!$A$6:$AF$400,6,FALSE))</f>
        <v/>
      </c>
      <c r="T30" s="275"/>
      <c r="U30" s="275" t="str">
        <f>IF($C30="","",VLOOKUP($C30,'분양가테이블(부가세기입X)'!$A$6:$AF$400,7,FALSE))</f>
        <v/>
      </c>
      <c r="V30" s="275"/>
      <c r="W30" s="279" t="str">
        <f>IF($C30="","",VLOOKUP($C30,'분양가테이블(부가세기입X)'!$A$6:$AF$400,17,FALSE))</f>
        <v/>
      </c>
      <c r="X30" s="280"/>
      <c r="Y30" s="280"/>
      <c r="Z30" s="281"/>
      <c r="AA30" s="279" t="str">
        <f>IF($C30="","",VLOOKUP($C30,'분양가테이블(부가세기입X)'!$A$6:$AF$400,23,FALSE))</f>
        <v/>
      </c>
      <c r="AB30" s="280"/>
      <c r="AC30" s="280"/>
      <c r="AD30" s="281"/>
      <c r="AE30" s="279" t="str">
        <f>IF($C30="","",VLOOKUP($C30,'분양가테이블(부가세기입X)'!$A$6:$AF$400,24,FALSE))</f>
        <v/>
      </c>
      <c r="AF30" s="280"/>
      <c r="AG30" s="280"/>
      <c r="AH30" s="281"/>
      <c r="AI30" s="279" t="str">
        <f>IF($C30="","",VLOOKUP($C30,'분양가테이블(부가세기입X)'!$A$6:$AF$400,26,FALSE))</f>
        <v/>
      </c>
      <c r="AJ30" s="280"/>
      <c r="AK30" s="280"/>
      <c r="AL30" s="281"/>
      <c r="AM30" s="282"/>
      <c r="AN30" s="282"/>
      <c r="AO30" s="282"/>
      <c r="AP30" s="282"/>
      <c r="AQ30" s="279" t="str">
        <f t="shared" si="0"/>
        <v/>
      </c>
      <c r="AR30" s="280"/>
      <c r="AS30" s="280"/>
      <c r="AT30" s="281"/>
      <c r="AU30" s="276" t="str">
        <f>IF($C30="","",VLOOKUP($C30,'분양가테이블(부가세기입X)'!$A$6:$AF$400,18,FALSE))</f>
        <v/>
      </c>
      <c r="AV30" s="277"/>
      <c r="AW30" s="277"/>
      <c r="AX30" s="278"/>
      <c r="AY30" s="2"/>
      <c r="AZ30" s="11"/>
      <c r="BA30" s="2"/>
      <c r="BB30" s="1"/>
    </row>
    <row r="31" spans="1:54" ht="39.950000000000003" customHeight="1">
      <c r="A31" s="11"/>
      <c r="B31" s="2"/>
      <c r="C31" s="180"/>
      <c r="D31" s="181"/>
      <c r="E31" s="285" t="str">
        <f>IF($C31="","",VLOOKUP($C31,'분양가테이블(부가세기입X)'!$A$6:$AF$400,2,FALSE))</f>
        <v/>
      </c>
      <c r="F31" s="286"/>
      <c r="G31" s="286"/>
      <c r="H31" s="287"/>
      <c r="I31" s="288" t="str">
        <f>IF($C31="","",VLOOKUP($C31,'분양가테이블(부가세기입X)'!$A$6:$AF$400,3,FALSE))</f>
        <v/>
      </c>
      <c r="J31" s="289"/>
      <c r="K31" s="275" t="str">
        <f>IF($C31="","",VLOOKUP($C31,'분양가테이블(부가세기입X)'!$A$6:$AF$400,4,FALSE))</f>
        <v/>
      </c>
      <c r="L31" s="275"/>
      <c r="M31" s="275" t="str">
        <f>IF($C31="","",VLOOKUP($C31,'분양가테이블(부가세기입X)'!$A$6:$AF$400,5,FALSE))</f>
        <v/>
      </c>
      <c r="N31" s="275"/>
      <c r="O31" s="275" t="str">
        <f>IF($C31="","",VLOOKUP($C31,'분양가테이블(부가세기입X)'!$A$6:$AF$400,12,FALSE))</f>
        <v/>
      </c>
      <c r="P31" s="275"/>
      <c r="Q31" s="275" t="str">
        <f>IF($C31="","",VLOOKUP($C31,'분양가테이블(부가세기입X)'!$A$6:$AF$400,13,FALSE))</f>
        <v/>
      </c>
      <c r="R31" s="275"/>
      <c r="S31" s="275" t="str">
        <f>IF($C31="","",VLOOKUP($C31,'분양가테이블(부가세기입X)'!$A$6:$AF$400,6,FALSE))</f>
        <v/>
      </c>
      <c r="T31" s="275"/>
      <c r="U31" s="275" t="str">
        <f>IF($C31="","",VLOOKUP($C31,'분양가테이블(부가세기입X)'!$A$6:$AF$400,7,FALSE))</f>
        <v/>
      </c>
      <c r="V31" s="275"/>
      <c r="W31" s="279" t="str">
        <f>IF($C31="","",VLOOKUP($C31,'분양가테이블(부가세기입X)'!$A$6:$AF$400,17,FALSE))</f>
        <v/>
      </c>
      <c r="X31" s="280"/>
      <c r="Y31" s="280"/>
      <c r="Z31" s="281"/>
      <c r="AA31" s="279" t="str">
        <f>IF($C31="","",VLOOKUP($C31,'분양가테이블(부가세기입X)'!$A$6:$AF$400,23,FALSE))</f>
        <v/>
      </c>
      <c r="AB31" s="280"/>
      <c r="AC31" s="280"/>
      <c r="AD31" s="281"/>
      <c r="AE31" s="279" t="str">
        <f>IF($C31="","",VLOOKUP($C31,'분양가테이블(부가세기입X)'!$A$6:$AF$400,24,FALSE))</f>
        <v/>
      </c>
      <c r="AF31" s="280"/>
      <c r="AG31" s="280"/>
      <c r="AH31" s="281"/>
      <c r="AI31" s="279" t="str">
        <f>IF($C31="","",VLOOKUP($C31,'분양가테이블(부가세기입X)'!$A$6:$AF$400,26,FALSE))</f>
        <v/>
      </c>
      <c r="AJ31" s="280"/>
      <c r="AK31" s="280"/>
      <c r="AL31" s="281"/>
      <c r="AM31" s="282"/>
      <c r="AN31" s="282"/>
      <c r="AO31" s="282"/>
      <c r="AP31" s="282"/>
      <c r="AQ31" s="279" t="str">
        <f t="shared" si="0"/>
        <v/>
      </c>
      <c r="AR31" s="280"/>
      <c r="AS31" s="280"/>
      <c r="AT31" s="281"/>
      <c r="AU31" s="276" t="str">
        <f>IF($C31="","",VLOOKUP($C31,'분양가테이블(부가세기입X)'!$A$6:$AF$400,18,FALSE))</f>
        <v/>
      </c>
      <c r="AV31" s="277"/>
      <c r="AW31" s="277"/>
      <c r="AX31" s="278"/>
      <c r="AY31" s="2"/>
      <c r="AZ31" s="11"/>
      <c r="BA31" s="2"/>
      <c r="BB31" s="1"/>
    </row>
    <row r="32" spans="1:54" ht="39.950000000000003" customHeight="1">
      <c r="A32" s="11"/>
      <c r="B32" s="2"/>
      <c r="C32" s="322"/>
      <c r="D32" s="323"/>
      <c r="E32" s="285" t="str">
        <f>IF($C32="","",VLOOKUP($C32,'분양가테이블(부가세기입X)'!$A$6:$AF$400,2,FALSE))</f>
        <v/>
      </c>
      <c r="F32" s="286"/>
      <c r="G32" s="286"/>
      <c r="H32" s="287"/>
      <c r="I32" s="288" t="str">
        <f>IF($C32="","",VLOOKUP($C32,'분양가테이블(부가세기입X)'!$A$6:$AF$400,3,FALSE))</f>
        <v/>
      </c>
      <c r="J32" s="289"/>
      <c r="K32" s="275" t="str">
        <f>IF($C32="","",VLOOKUP($C32,'분양가테이블(부가세기입X)'!$A$6:$AF$400,4,FALSE))</f>
        <v/>
      </c>
      <c r="L32" s="275"/>
      <c r="M32" s="275" t="str">
        <f>IF($C32="","",VLOOKUP($C32,'분양가테이블(부가세기입X)'!$A$6:$AF$400,5,FALSE))</f>
        <v/>
      </c>
      <c r="N32" s="275"/>
      <c r="O32" s="275" t="str">
        <f>IF($C32="","",VLOOKUP($C32,'분양가테이블(부가세기입X)'!$A$6:$AF$400,12,FALSE))</f>
        <v/>
      </c>
      <c r="P32" s="275"/>
      <c r="Q32" s="275" t="str">
        <f>IF($C32="","",VLOOKUP($C32,'분양가테이블(부가세기입X)'!$A$6:$AF$400,13,FALSE))</f>
        <v/>
      </c>
      <c r="R32" s="275"/>
      <c r="S32" s="275" t="str">
        <f>IF($C32="","",VLOOKUP($C32,'분양가테이블(부가세기입X)'!$A$6:$AF$400,6,FALSE))</f>
        <v/>
      </c>
      <c r="T32" s="275"/>
      <c r="U32" s="275" t="str">
        <f>IF($C32="","",VLOOKUP($C32,'분양가테이블(부가세기입X)'!$A$6:$AF$400,7,FALSE))</f>
        <v/>
      </c>
      <c r="V32" s="275"/>
      <c r="W32" s="279" t="str">
        <f>IF($C32="","",VLOOKUP($C32,'분양가테이블(부가세기입X)'!$A$6:$AF$400,17,FALSE))</f>
        <v/>
      </c>
      <c r="X32" s="280"/>
      <c r="Y32" s="280"/>
      <c r="Z32" s="281"/>
      <c r="AA32" s="279" t="str">
        <f>IF($C32="","",VLOOKUP($C32,'분양가테이블(부가세기입X)'!$A$6:$AF$400,23,FALSE))</f>
        <v/>
      </c>
      <c r="AB32" s="280"/>
      <c r="AC32" s="280"/>
      <c r="AD32" s="281"/>
      <c r="AE32" s="279" t="str">
        <f>IF($C32="","",VLOOKUP($C32,'분양가테이블(부가세기입X)'!$A$6:$AF$400,24,FALSE))</f>
        <v/>
      </c>
      <c r="AF32" s="280"/>
      <c r="AG32" s="280"/>
      <c r="AH32" s="281"/>
      <c r="AI32" s="279" t="str">
        <f>IF($C32="","",VLOOKUP($C32,'분양가테이블(부가세기입X)'!$A$6:$AF$400,26,FALSE))</f>
        <v/>
      </c>
      <c r="AJ32" s="280"/>
      <c r="AK32" s="280"/>
      <c r="AL32" s="281"/>
      <c r="AM32" s="282"/>
      <c r="AN32" s="282"/>
      <c r="AO32" s="282"/>
      <c r="AP32" s="282"/>
      <c r="AQ32" s="279" t="str">
        <f t="shared" si="0"/>
        <v/>
      </c>
      <c r="AR32" s="280"/>
      <c r="AS32" s="280"/>
      <c r="AT32" s="281"/>
      <c r="AU32" s="276" t="str">
        <f>IF($C32="","",VLOOKUP($C32,'분양가테이블(부가세기입X)'!$A$6:$AF$400,18,FALSE))</f>
        <v/>
      </c>
      <c r="AV32" s="277"/>
      <c r="AW32" s="277"/>
      <c r="AX32" s="278"/>
      <c r="AY32" s="2"/>
      <c r="AZ32" s="11"/>
      <c r="BA32" s="2"/>
      <c r="BB32" s="1"/>
    </row>
    <row r="33" spans="1:54" ht="39.950000000000003" customHeight="1">
      <c r="A33" s="11"/>
      <c r="B33" s="2"/>
      <c r="C33" s="322"/>
      <c r="D33" s="323"/>
      <c r="E33" s="285" t="str">
        <f>IF($C33="","",VLOOKUP($C33,'분양가테이블(부가세기입X)'!$A$6:$AF$400,2,FALSE))</f>
        <v/>
      </c>
      <c r="F33" s="286"/>
      <c r="G33" s="286"/>
      <c r="H33" s="287"/>
      <c r="I33" s="288" t="str">
        <f>IF($C33="","",VLOOKUP($C33,'분양가테이블(부가세기입X)'!$A$6:$AF$400,3,FALSE))</f>
        <v/>
      </c>
      <c r="J33" s="289"/>
      <c r="K33" s="275" t="str">
        <f>IF($C33="","",VLOOKUP($C33,'분양가테이블(부가세기입X)'!$A$6:$AF$400,4,FALSE))</f>
        <v/>
      </c>
      <c r="L33" s="275"/>
      <c r="M33" s="275" t="str">
        <f>IF($C33="","",VLOOKUP($C33,'분양가테이블(부가세기입X)'!$A$6:$AF$400,5,FALSE))</f>
        <v/>
      </c>
      <c r="N33" s="275"/>
      <c r="O33" s="275" t="str">
        <f>IF($C33="","",VLOOKUP($C33,'분양가테이블(부가세기입X)'!$A$6:$AF$400,12,FALSE))</f>
        <v/>
      </c>
      <c r="P33" s="275"/>
      <c r="Q33" s="275" t="str">
        <f>IF($C33="","",VLOOKUP($C33,'분양가테이블(부가세기입X)'!$A$6:$AF$400,13,FALSE))</f>
        <v/>
      </c>
      <c r="R33" s="275"/>
      <c r="S33" s="275" t="str">
        <f>IF($C33="","",VLOOKUP($C33,'분양가테이블(부가세기입X)'!$A$6:$AF$400,6,FALSE))</f>
        <v/>
      </c>
      <c r="T33" s="275"/>
      <c r="U33" s="275" t="str">
        <f>IF($C33="","",VLOOKUP($C33,'분양가테이블(부가세기입X)'!$A$6:$AF$400,7,FALSE))</f>
        <v/>
      </c>
      <c r="V33" s="275"/>
      <c r="W33" s="279" t="str">
        <f>IF($C33="","",VLOOKUP($C33,'분양가테이블(부가세기입X)'!$A$6:$AF$400,17,FALSE))</f>
        <v/>
      </c>
      <c r="X33" s="280"/>
      <c r="Y33" s="280"/>
      <c r="Z33" s="281"/>
      <c r="AA33" s="279" t="str">
        <f>IF($C33="","",VLOOKUP($C33,'분양가테이블(부가세기입X)'!$A$6:$AF$400,23,FALSE))</f>
        <v/>
      </c>
      <c r="AB33" s="280"/>
      <c r="AC33" s="280"/>
      <c r="AD33" s="281"/>
      <c r="AE33" s="279" t="str">
        <f>IF($C33="","",VLOOKUP($C33,'분양가테이블(부가세기입X)'!$A$6:$AF$400,24,FALSE))</f>
        <v/>
      </c>
      <c r="AF33" s="280"/>
      <c r="AG33" s="280"/>
      <c r="AH33" s="281"/>
      <c r="AI33" s="279" t="str">
        <f>IF($C33="","",VLOOKUP($C33,'분양가테이블(부가세기입X)'!$A$6:$AF$400,26,FALSE))</f>
        <v/>
      </c>
      <c r="AJ33" s="280"/>
      <c r="AK33" s="280"/>
      <c r="AL33" s="281"/>
      <c r="AM33" s="282"/>
      <c r="AN33" s="282"/>
      <c r="AO33" s="282"/>
      <c r="AP33" s="282"/>
      <c r="AQ33" s="279" t="str">
        <f t="shared" si="0"/>
        <v/>
      </c>
      <c r="AR33" s="280"/>
      <c r="AS33" s="280"/>
      <c r="AT33" s="281"/>
      <c r="AU33" s="276" t="str">
        <f>IF($C33="","",VLOOKUP($C33,'분양가테이블(부가세기입X)'!$A$6:$AF$400,18,FALSE))</f>
        <v/>
      </c>
      <c r="AV33" s="277"/>
      <c r="AW33" s="277"/>
      <c r="AX33" s="278"/>
      <c r="AY33" s="2"/>
      <c r="AZ33" s="11"/>
      <c r="BA33" s="2"/>
      <c r="BB33" s="1"/>
    </row>
    <row r="34" spans="1:54" ht="39.950000000000003" customHeight="1" thickBot="1">
      <c r="A34" s="11"/>
      <c r="B34" s="2"/>
      <c r="C34" s="322"/>
      <c r="D34" s="323"/>
      <c r="E34" s="285" t="str">
        <f>IF($C34="","",VLOOKUP($C34,'분양가테이블(부가세기입X)'!$A$6:$AF$400,2,FALSE))</f>
        <v/>
      </c>
      <c r="F34" s="286"/>
      <c r="G34" s="286"/>
      <c r="H34" s="287"/>
      <c r="I34" s="288" t="str">
        <f>IF($C34="","",VLOOKUP($C34,'분양가테이블(부가세기입X)'!$A$6:$AF$400,3,FALSE))</f>
        <v/>
      </c>
      <c r="J34" s="289"/>
      <c r="K34" s="275" t="str">
        <f>IF($C34="","",VLOOKUP($C34,'분양가테이블(부가세기입X)'!$A$6:$AF$400,4,FALSE))</f>
        <v/>
      </c>
      <c r="L34" s="275"/>
      <c r="M34" s="275" t="str">
        <f>IF($C34="","",VLOOKUP($C34,'분양가테이블(부가세기입X)'!$A$6:$AF$400,5,FALSE))</f>
        <v/>
      </c>
      <c r="N34" s="275"/>
      <c r="O34" s="275" t="str">
        <f>IF($C34="","",VLOOKUP($C34,'분양가테이블(부가세기입X)'!$A$6:$AF$400,12,FALSE))</f>
        <v/>
      </c>
      <c r="P34" s="275"/>
      <c r="Q34" s="275" t="str">
        <f>IF($C34="","",VLOOKUP($C34,'분양가테이블(부가세기입X)'!$A$6:$AF$400,13,FALSE))</f>
        <v/>
      </c>
      <c r="R34" s="275"/>
      <c r="S34" s="275" t="str">
        <f>IF($C34="","",VLOOKUP($C34,'분양가테이블(부가세기입X)'!$A$6:$AF$400,6,FALSE))</f>
        <v/>
      </c>
      <c r="T34" s="275"/>
      <c r="U34" s="275" t="str">
        <f>IF($C34="","",VLOOKUP($C34,'분양가테이블(부가세기입X)'!$A$6:$AF$400,7,FALSE))</f>
        <v/>
      </c>
      <c r="V34" s="275"/>
      <c r="W34" s="279" t="str">
        <f>IF($C34="","",VLOOKUP($C34,'분양가테이블(부가세기입X)'!$A$6:$AF$400,17,FALSE))</f>
        <v/>
      </c>
      <c r="X34" s="280"/>
      <c r="Y34" s="280"/>
      <c r="Z34" s="281"/>
      <c r="AA34" s="279" t="str">
        <f>IF($C34="","",VLOOKUP($C34,'분양가테이블(부가세기입X)'!$A$6:$AF$400,23,FALSE))</f>
        <v/>
      </c>
      <c r="AB34" s="280"/>
      <c r="AC34" s="280"/>
      <c r="AD34" s="281"/>
      <c r="AE34" s="279" t="str">
        <f>IF($C34="","",VLOOKUP($C34,'분양가테이블(부가세기입X)'!$A$6:$AF$400,24,FALSE))</f>
        <v/>
      </c>
      <c r="AF34" s="280"/>
      <c r="AG34" s="280"/>
      <c r="AH34" s="281"/>
      <c r="AI34" s="279" t="str">
        <f>IF($C34="","",VLOOKUP($C34,'분양가테이블(부가세기입X)'!$A$6:$AF$400,26,FALSE))</f>
        <v/>
      </c>
      <c r="AJ34" s="280"/>
      <c r="AK34" s="280"/>
      <c r="AL34" s="281"/>
      <c r="AM34" s="282"/>
      <c r="AN34" s="282"/>
      <c r="AO34" s="282"/>
      <c r="AP34" s="282"/>
      <c r="AQ34" s="279" t="str">
        <f t="shared" si="0"/>
        <v/>
      </c>
      <c r="AR34" s="280"/>
      <c r="AS34" s="280"/>
      <c r="AT34" s="281"/>
      <c r="AU34" s="276" t="str">
        <f>IF($C34="","",VLOOKUP($C34,'분양가테이블(부가세기입X)'!$A$6:$AF$400,18,FALSE))</f>
        <v/>
      </c>
      <c r="AV34" s="277"/>
      <c r="AW34" s="277"/>
      <c r="AX34" s="278"/>
      <c r="AY34" s="2"/>
      <c r="AZ34" s="11"/>
      <c r="BA34" s="2"/>
      <c r="BB34" s="1"/>
    </row>
    <row r="35" spans="1:54" ht="39.950000000000003" customHeight="1" thickBot="1">
      <c r="A35" s="11"/>
      <c r="B35" s="2"/>
      <c r="C35" s="270" t="s">
        <v>346</v>
      </c>
      <c r="D35" s="271"/>
      <c r="E35" s="271"/>
      <c r="F35" s="271"/>
      <c r="G35" s="271"/>
      <c r="H35" s="271"/>
      <c r="I35" s="271"/>
      <c r="J35" s="272"/>
      <c r="K35" s="273">
        <f>SUM(K10:L34)</f>
        <v>245.07</v>
      </c>
      <c r="L35" s="273"/>
      <c r="M35" s="273">
        <f>SUM(M10:N34)</f>
        <v>74.133674999999997</v>
      </c>
      <c r="N35" s="273"/>
      <c r="O35" s="273">
        <f>SUM(O10:P34)</f>
        <v>289.59000000000003</v>
      </c>
      <c r="P35" s="273"/>
      <c r="Q35" s="273">
        <f>SUM(Q10:R34)</f>
        <v>87.600975000000005</v>
      </c>
      <c r="R35" s="273"/>
      <c r="S35" s="273">
        <f>SUM(S10:T34)</f>
        <v>534.66</v>
      </c>
      <c r="T35" s="273"/>
      <c r="U35" s="273">
        <f>SUM(U10:V34)</f>
        <v>161.73464999999999</v>
      </c>
      <c r="V35" s="273"/>
      <c r="W35" s="274">
        <f>SUM(W10:Z34)</f>
        <v>8571000</v>
      </c>
      <c r="X35" s="274"/>
      <c r="Y35" s="274"/>
      <c r="Z35" s="274"/>
      <c r="AA35" s="274">
        <f>SUM(AA10:AD34)</f>
        <v>857100</v>
      </c>
      <c r="AB35" s="274"/>
      <c r="AC35" s="274"/>
      <c r="AD35" s="274"/>
      <c r="AE35" s="274">
        <f>SUM(AE10:AH34)</f>
        <v>9428100</v>
      </c>
      <c r="AF35" s="274"/>
      <c r="AG35" s="274"/>
      <c r="AH35" s="274"/>
      <c r="AI35" s="274">
        <f>SUM(AI10:AL34)</f>
        <v>8571000</v>
      </c>
      <c r="AJ35" s="274"/>
      <c r="AK35" s="274"/>
      <c r="AL35" s="274"/>
      <c r="AM35" s="274">
        <f>SUM(AM10:AP34)</f>
        <v>0</v>
      </c>
      <c r="AN35" s="274"/>
      <c r="AO35" s="274"/>
      <c r="AP35" s="274"/>
      <c r="AQ35" s="274">
        <f>SUM(AQ10:AT34)</f>
        <v>8571000</v>
      </c>
      <c r="AR35" s="274"/>
      <c r="AS35" s="274"/>
      <c r="AT35" s="274"/>
      <c r="AU35" s="283">
        <f>SUM(AU10:AX34)</f>
        <v>85710000</v>
      </c>
      <c r="AV35" s="283"/>
      <c r="AW35" s="283"/>
      <c r="AX35" s="284"/>
      <c r="AY35" s="2"/>
      <c r="AZ35" s="11"/>
      <c r="BA35" s="2"/>
      <c r="BB35" s="1"/>
    </row>
    <row r="36" spans="1:54" ht="39.950000000000003" customHeight="1">
      <c r="A36" s="11"/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2"/>
      <c r="AZ36" s="11"/>
      <c r="BA36" s="2"/>
      <c r="BB36" s="1"/>
    </row>
    <row r="37" spans="1:54" ht="39.950000000000003" customHeight="1">
      <c r="A37" s="11"/>
      <c r="B37" s="2"/>
      <c r="C37" s="53" t="s">
        <v>64</v>
      </c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268" t="s">
        <v>51</v>
      </c>
      <c r="W37" s="269"/>
      <c r="X37" s="269"/>
      <c r="Y37" s="269"/>
      <c r="Z37" s="54"/>
      <c r="AA37" s="54"/>
      <c r="AB37" s="53" t="s">
        <v>65</v>
      </c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268" t="s">
        <v>51</v>
      </c>
      <c r="AV37" s="269"/>
      <c r="AW37" s="269"/>
      <c r="AX37" s="269"/>
      <c r="AY37" s="2"/>
      <c r="AZ37" s="11"/>
      <c r="BA37" s="2"/>
      <c r="BB37" s="1"/>
    </row>
    <row r="38" spans="1:54" ht="39.950000000000003" customHeight="1">
      <c r="A38" s="11"/>
      <c r="B38" s="2"/>
      <c r="C38" s="247" t="s">
        <v>3</v>
      </c>
      <c r="D38" s="247"/>
      <c r="E38" s="247"/>
      <c r="F38" s="247"/>
      <c r="G38" s="247" t="s">
        <v>23</v>
      </c>
      <c r="H38" s="247"/>
      <c r="I38" s="247" t="s">
        <v>24</v>
      </c>
      <c r="J38" s="247"/>
      <c r="K38" s="247"/>
      <c r="L38" s="247"/>
      <c r="M38" s="247" t="s">
        <v>8</v>
      </c>
      <c r="N38" s="247"/>
      <c r="O38" s="247"/>
      <c r="P38" s="247"/>
      <c r="Q38" s="247" t="s">
        <v>1</v>
      </c>
      <c r="R38" s="247"/>
      <c r="S38" s="247"/>
      <c r="T38" s="247"/>
      <c r="U38" s="247" t="s">
        <v>16</v>
      </c>
      <c r="V38" s="247"/>
      <c r="W38" s="247"/>
      <c r="X38" s="247"/>
      <c r="Y38" s="247"/>
      <c r="Z38" s="54"/>
      <c r="AA38" s="54"/>
      <c r="AB38" s="254" t="s">
        <v>3</v>
      </c>
      <c r="AC38" s="255"/>
      <c r="AD38" s="255"/>
      <c r="AE38" s="256"/>
      <c r="AF38" s="254" t="s">
        <v>23</v>
      </c>
      <c r="AG38" s="256"/>
      <c r="AH38" s="254" t="s">
        <v>24</v>
      </c>
      <c r="AI38" s="255"/>
      <c r="AJ38" s="255"/>
      <c r="AK38" s="256"/>
      <c r="AL38" s="254" t="s">
        <v>25</v>
      </c>
      <c r="AM38" s="255"/>
      <c r="AN38" s="255"/>
      <c r="AO38" s="255"/>
      <c r="AP38" s="256"/>
      <c r="AQ38" s="254" t="s">
        <v>26</v>
      </c>
      <c r="AR38" s="255"/>
      <c r="AS38" s="255"/>
      <c r="AT38" s="256"/>
      <c r="AU38" s="254" t="s">
        <v>2</v>
      </c>
      <c r="AV38" s="255"/>
      <c r="AW38" s="255"/>
      <c r="AX38" s="256"/>
      <c r="AY38" s="2"/>
      <c r="AZ38" s="11"/>
      <c r="BA38" s="2"/>
      <c r="BB38" s="1"/>
    </row>
    <row r="39" spans="1:54" ht="39.950000000000003" customHeight="1">
      <c r="A39" s="11"/>
      <c r="B39" s="2"/>
      <c r="C39" s="247" t="s">
        <v>11</v>
      </c>
      <c r="D39" s="247"/>
      <c r="E39" s="247"/>
      <c r="F39" s="247"/>
      <c r="G39" s="265">
        <v>0.1</v>
      </c>
      <c r="H39" s="248"/>
      <c r="I39" s="248" t="s">
        <v>30</v>
      </c>
      <c r="J39" s="248"/>
      <c r="K39" s="248"/>
      <c r="L39" s="248"/>
      <c r="M39" s="266" t="s">
        <v>70</v>
      </c>
      <c r="N39" s="266"/>
      <c r="O39" s="266"/>
      <c r="P39" s="266"/>
      <c r="Q39" s="267" t="s">
        <v>70</v>
      </c>
      <c r="R39" s="267"/>
      <c r="S39" s="267"/>
      <c r="T39" s="267"/>
      <c r="U39" s="267" t="s">
        <v>70</v>
      </c>
      <c r="V39" s="267"/>
      <c r="W39" s="267"/>
      <c r="X39" s="267"/>
      <c r="Y39" s="267"/>
      <c r="Z39" s="54"/>
      <c r="AA39" s="54"/>
      <c r="AB39" s="254" t="s">
        <v>45</v>
      </c>
      <c r="AC39" s="255"/>
      <c r="AD39" s="255"/>
      <c r="AE39" s="256"/>
      <c r="AF39" s="257">
        <v>1</v>
      </c>
      <c r="AG39" s="258"/>
      <c r="AH39" s="259" t="s">
        <v>33</v>
      </c>
      <c r="AI39" s="260"/>
      <c r="AJ39" s="260"/>
      <c r="AK39" s="261"/>
      <c r="AL39" s="262">
        <f>AU35</f>
        <v>85710000</v>
      </c>
      <c r="AM39" s="263"/>
      <c r="AN39" s="263"/>
      <c r="AO39" s="263"/>
      <c r="AP39" s="264"/>
      <c r="AQ39" s="262">
        <f>W35</f>
        <v>8571000</v>
      </c>
      <c r="AR39" s="263"/>
      <c r="AS39" s="263"/>
      <c r="AT39" s="264"/>
      <c r="AU39" s="259"/>
      <c r="AV39" s="260"/>
      <c r="AW39" s="260"/>
      <c r="AX39" s="261"/>
      <c r="AY39" s="2"/>
      <c r="AZ39" s="11"/>
      <c r="BA39" s="2"/>
      <c r="BB39" s="1"/>
    </row>
    <row r="40" spans="1:54" ht="39.950000000000003" customHeight="1">
      <c r="A40" s="11"/>
      <c r="B40" s="2"/>
      <c r="C40" s="247" t="s">
        <v>27</v>
      </c>
      <c r="D40" s="247"/>
      <c r="E40" s="247"/>
      <c r="F40" s="247"/>
      <c r="G40" s="265" t="s">
        <v>33</v>
      </c>
      <c r="H40" s="248"/>
      <c r="I40" s="248" t="s">
        <v>33</v>
      </c>
      <c r="J40" s="248"/>
      <c r="K40" s="248"/>
      <c r="L40" s="248"/>
      <c r="M40" s="248" t="s">
        <v>33</v>
      </c>
      <c r="N40" s="248"/>
      <c r="O40" s="248"/>
      <c r="P40" s="248"/>
      <c r="Q40" s="248" t="s">
        <v>33</v>
      </c>
      <c r="R40" s="248"/>
      <c r="S40" s="248"/>
      <c r="T40" s="248"/>
      <c r="U40" s="267" t="s">
        <v>435</v>
      </c>
      <c r="V40" s="267"/>
      <c r="W40" s="267"/>
      <c r="X40" s="267"/>
      <c r="Y40" s="267"/>
      <c r="Z40" s="54"/>
      <c r="AA40" s="54"/>
      <c r="AB40" s="254" t="s">
        <v>11</v>
      </c>
      <c r="AC40" s="255"/>
      <c r="AD40" s="255"/>
      <c r="AE40" s="256"/>
      <c r="AF40" s="257">
        <v>0.1</v>
      </c>
      <c r="AG40" s="258"/>
      <c r="AH40" s="259" t="s">
        <v>30</v>
      </c>
      <c r="AI40" s="260"/>
      <c r="AJ40" s="260"/>
      <c r="AK40" s="261"/>
      <c r="AL40" s="262">
        <f>AL39*10%</f>
        <v>8571000</v>
      </c>
      <c r="AM40" s="263"/>
      <c r="AN40" s="263"/>
      <c r="AO40" s="263"/>
      <c r="AP40" s="264"/>
      <c r="AQ40" s="262"/>
      <c r="AR40" s="263"/>
      <c r="AS40" s="263"/>
      <c r="AT40" s="264"/>
      <c r="AU40" s="259"/>
      <c r="AV40" s="260"/>
      <c r="AW40" s="260"/>
      <c r="AX40" s="261"/>
      <c r="AY40" s="2"/>
      <c r="AZ40" s="11"/>
      <c r="BA40" s="2"/>
      <c r="BB40" s="1"/>
    </row>
    <row r="41" spans="1:54" ht="39.950000000000003" customHeight="1">
      <c r="A41" s="11"/>
      <c r="B41" s="2"/>
      <c r="C41" s="247" t="s">
        <v>28</v>
      </c>
      <c r="D41" s="247"/>
      <c r="E41" s="247"/>
      <c r="F41" s="247"/>
      <c r="G41" s="265">
        <v>0.9</v>
      </c>
      <c r="H41" s="248"/>
      <c r="I41" s="248" t="s">
        <v>32</v>
      </c>
      <c r="J41" s="248"/>
      <c r="K41" s="248"/>
      <c r="L41" s="248"/>
      <c r="M41" s="266" t="s">
        <v>70</v>
      </c>
      <c r="N41" s="266"/>
      <c r="O41" s="266"/>
      <c r="P41" s="266"/>
      <c r="Q41" s="267" t="s">
        <v>70</v>
      </c>
      <c r="R41" s="267"/>
      <c r="S41" s="267"/>
      <c r="T41" s="267"/>
      <c r="U41" s="267" t="s">
        <v>70</v>
      </c>
      <c r="V41" s="267"/>
      <c r="W41" s="267"/>
      <c r="X41" s="267"/>
      <c r="Y41" s="267"/>
      <c r="Z41" s="54"/>
      <c r="AA41" s="54"/>
      <c r="AB41" s="254" t="s">
        <v>27</v>
      </c>
      <c r="AC41" s="255"/>
      <c r="AD41" s="255"/>
      <c r="AE41" s="256"/>
      <c r="AF41" s="257" t="s">
        <v>33</v>
      </c>
      <c r="AG41" s="258"/>
      <c r="AH41" s="259" t="s">
        <v>71</v>
      </c>
      <c r="AI41" s="260"/>
      <c r="AJ41" s="260"/>
      <c r="AK41" s="260"/>
      <c r="AL41" s="260"/>
      <c r="AM41" s="260"/>
      <c r="AN41" s="260"/>
      <c r="AO41" s="260"/>
      <c r="AP41" s="260"/>
      <c r="AQ41" s="260"/>
      <c r="AR41" s="260"/>
      <c r="AS41" s="260"/>
      <c r="AT41" s="260"/>
      <c r="AU41" s="260"/>
      <c r="AV41" s="260"/>
      <c r="AW41" s="260"/>
      <c r="AX41" s="261"/>
      <c r="AY41" s="2"/>
      <c r="AZ41" s="11"/>
      <c r="BA41" s="2"/>
      <c r="BB41" s="1"/>
    </row>
    <row r="42" spans="1:54" ht="39.950000000000003" customHeight="1">
      <c r="A42" s="11"/>
      <c r="B42" s="2"/>
      <c r="C42" s="247" t="s">
        <v>29</v>
      </c>
      <c r="D42" s="247"/>
      <c r="E42" s="247"/>
      <c r="F42" s="247"/>
      <c r="G42" s="265">
        <v>1</v>
      </c>
      <c r="H42" s="248"/>
      <c r="I42" s="248" t="s">
        <v>33</v>
      </c>
      <c r="J42" s="248"/>
      <c r="K42" s="248"/>
      <c r="L42" s="248"/>
      <c r="M42" s="266" t="s">
        <v>70</v>
      </c>
      <c r="N42" s="266"/>
      <c r="O42" s="266"/>
      <c r="P42" s="266"/>
      <c r="Q42" s="267" t="str">
        <f>AA15</f>
        <v/>
      </c>
      <c r="R42" s="267"/>
      <c r="S42" s="267"/>
      <c r="T42" s="267"/>
      <c r="U42" s="267" t="str">
        <f>AE15</f>
        <v/>
      </c>
      <c r="V42" s="267"/>
      <c r="W42" s="267"/>
      <c r="X42" s="267"/>
      <c r="Y42" s="267"/>
      <c r="Z42" s="54"/>
      <c r="AA42" s="54"/>
      <c r="AB42" s="254" t="s">
        <v>28</v>
      </c>
      <c r="AC42" s="255"/>
      <c r="AD42" s="255"/>
      <c r="AE42" s="256"/>
      <c r="AF42" s="257">
        <v>0.9</v>
      </c>
      <c r="AG42" s="258"/>
      <c r="AH42" s="259" t="s">
        <v>32</v>
      </c>
      <c r="AI42" s="260"/>
      <c r="AJ42" s="260"/>
      <c r="AK42" s="261"/>
      <c r="AL42" s="262">
        <f>AL39-AL40</f>
        <v>77139000</v>
      </c>
      <c r="AM42" s="263"/>
      <c r="AN42" s="263"/>
      <c r="AO42" s="263"/>
      <c r="AP42" s="264"/>
      <c r="AQ42" s="262"/>
      <c r="AR42" s="263"/>
      <c r="AS42" s="263"/>
      <c r="AT42" s="264"/>
      <c r="AU42" s="259"/>
      <c r="AV42" s="260"/>
      <c r="AW42" s="260"/>
      <c r="AX42" s="261"/>
      <c r="AY42" s="2"/>
      <c r="AZ42" s="11"/>
      <c r="BA42" s="2"/>
      <c r="BB42" s="1"/>
    </row>
    <row r="43" spans="1:54" ht="39.950000000000003" customHeight="1">
      <c r="A43" s="11"/>
      <c r="B43" s="2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2"/>
      <c r="AZ43" s="11"/>
      <c r="BA43" s="2"/>
      <c r="BB43" s="1"/>
    </row>
    <row r="44" spans="1:54" ht="39.950000000000003" customHeight="1">
      <c r="A44" s="11"/>
      <c r="B44" s="2"/>
      <c r="C44" s="53" t="s">
        <v>66</v>
      </c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3" t="s">
        <v>67</v>
      </c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2"/>
      <c r="AZ44" s="11"/>
      <c r="BA44" s="2"/>
      <c r="BB44" s="1"/>
    </row>
    <row r="45" spans="1:54" ht="39.950000000000003" customHeight="1">
      <c r="A45" s="11"/>
      <c r="B45" s="2"/>
      <c r="C45" s="247" t="s">
        <v>36</v>
      </c>
      <c r="D45" s="247"/>
      <c r="E45" s="247"/>
      <c r="F45" s="247"/>
      <c r="G45" s="247" t="s">
        <v>37</v>
      </c>
      <c r="H45" s="247"/>
      <c r="I45" s="247"/>
      <c r="J45" s="247"/>
      <c r="K45" s="247"/>
      <c r="L45" s="247"/>
      <c r="M45" s="247"/>
      <c r="N45" s="247"/>
      <c r="O45" s="247"/>
      <c r="P45" s="247" t="s">
        <v>38</v>
      </c>
      <c r="Q45" s="247"/>
      <c r="R45" s="247"/>
      <c r="S45" s="247"/>
      <c r="T45" s="247"/>
      <c r="U45" s="54"/>
      <c r="V45" s="54"/>
      <c r="W45" s="247" t="s">
        <v>39</v>
      </c>
      <c r="X45" s="247"/>
      <c r="Y45" s="247"/>
      <c r="Z45" s="247"/>
      <c r="AA45" s="247"/>
      <c r="AB45" s="249" t="s">
        <v>347</v>
      </c>
      <c r="AC45" s="250"/>
      <c r="AD45" s="250"/>
      <c r="AE45" s="250"/>
      <c r="AF45" s="250"/>
      <c r="AG45" s="250"/>
      <c r="AH45" s="250"/>
      <c r="AI45" s="250"/>
      <c r="AJ45" s="250"/>
      <c r="AK45" s="250"/>
      <c r="AL45" s="250"/>
      <c r="AM45" s="250"/>
      <c r="AN45" s="250"/>
      <c r="AO45" s="250"/>
      <c r="AP45" s="250"/>
      <c r="AQ45" s="250"/>
      <c r="AR45" s="250"/>
      <c r="AS45" s="250"/>
      <c r="AT45" s="250"/>
      <c r="AU45" s="250"/>
      <c r="AV45" s="250"/>
      <c r="AW45" s="250"/>
      <c r="AX45" s="250"/>
      <c r="AY45" s="2"/>
      <c r="AZ45" s="11"/>
      <c r="BA45" s="2"/>
      <c r="BB45" s="1"/>
    </row>
    <row r="46" spans="1:54" ht="39.950000000000003" customHeight="1">
      <c r="A46" s="11"/>
      <c r="B46" s="2"/>
      <c r="C46" s="251" t="s">
        <v>352</v>
      </c>
      <c r="D46" s="251"/>
      <c r="E46" s="251"/>
      <c r="F46" s="251"/>
      <c r="G46" s="252" t="s">
        <v>354</v>
      </c>
      <c r="H46" s="252"/>
      <c r="I46" s="252"/>
      <c r="J46" s="252"/>
      <c r="K46" s="252"/>
      <c r="L46" s="252"/>
      <c r="M46" s="252"/>
      <c r="N46" s="252"/>
      <c r="O46" s="252"/>
      <c r="P46" s="253" t="s">
        <v>76</v>
      </c>
      <c r="Q46" s="253"/>
      <c r="R46" s="253"/>
      <c r="S46" s="253"/>
      <c r="T46" s="253"/>
      <c r="U46" s="54"/>
      <c r="V46" s="54"/>
      <c r="W46" s="247"/>
      <c r="X46" s="247"/>
      <c r="Y46" s="247"/>
      <c r="Z46" s="247"/>
      <c r="AA46" s="247"/>
      <c r="AB46" s="250"/>
      <c r="AC46" s="250"/>
      <c r="AD46" s="250"/>
      <c r="AE46" s="250"/>
      <c r="AF46" s="250"/>
      <c r="AG46" s="250"/>
      <c r="AH46" s="250"/>
      <c r="AI46" s="250"/>
      <c r="AJ46" s="250"/>
      <c r="AK46" s="250"/>
      <c r="AL46" s="250"/>
      <c r="AM46" s="250"/>
      <c r="AN46" s="250"/>
      <c r="AO46" s="250"/>
      <c r="AP46" s="250"/>
      <c r="AQ46" s="250"/>
      <c r="AR46" s="250"/>
      <c r="AS46" s="250"/>
      <c r="AT46" s="250"/>
      <c r="AU46" s="250"/>
      <c r="AV46" s="250"/>
      <c r="AW46" s="250"/>
      <c r="AX46" s="250"/>
      <c r="AY46" s="2"/>
      <c r="AZ46" s="11"/>
      <c r="BA46" s="2"/>
      <c r="BB46" s="1"/>
    </row>
    <row r="47" spans="1:54" ht="39.950000000000003" customHeight="1">
      <c r="A47" s="11"/>
      <c r="B47" s="2"/>
      <c r="C47" s="251"/>
      <c r="D47" s="251"/>
      <c r="E47" s="251"/>
      <c r="F47" s="251"/>
      <c r="G47" s="252"/>
      <c r="H47" s="252"/>
      <c r="I47" s="252"/>
      <c r="J47" s="252"/>
      <c r="K47" s="252"/>
      <c r="L47" s="252"/>
      <c r="M47" s="252"/>
      <c r="N47" s="252"/>
      <c r="O47" s="252"/>
      <c r="P47" s="253"/>
      <c r="Q47" s="253"/>
      <c r="R47" s="253"/>
      <c r="S47" s="253"/>
      <c r="T47" s="253"/>
      <c r="U47" s="54"/>
      <c r="V47" s="54"/>
      <c r="W47" s="247" t="s">
        <v>41</v>
      </c>
      <c r="X47" s="247"/>
      <c r="Y47" s="247"/>
      <c r="Z47" s="247"/>
      <c r="AA47" s="247"/>
      <c r="AB47" s="249" t="s">
        <v>348</v>
      </c>
      <c r="AC47" s="250"/>
      <c r="AD47" s="250"/>
      <c r="AE47" s="250"/>
      <c r="AF47" s="250"/>
      <c r="AG47" s="250"/>
      <c r="AH47" s="250"/>
      <c r="AI47" s="250"/>
      <c r="AJ47" s="250"/>
      <c r="AK47" s="250"/>
      <c r="AL47" s="250"/>
      <c r="AM47" s="250"/>
      <c r="AN47" s="250"/>
      <c r="AO47" s="250"/>
      <c r="AP47" s="250"/>
      <c r="AQ47" s="250"/>
      <c r="AR47" s="250"/>
      <c r="AS47" s="250"/>
      <c r="AT47" s="250"/>
      <c r="AU47" s="250"/>
      <c r="AV47" s="250"/>
      <c r="AW47" s="250"/>
      <c r="AX47" s="250"/>
      <c r="AY47" s="2"/>
      <c r="AZ47" s="11"/>
      <c r="BA47" s="2"/>
      <c r="BB47" s="1"/>
    </row>
    <row r="48" spans="1:54" ht="39.950000000000003" customHeight="1">
      <c r="A48" s="11"/>
      <c r="B48" s="2"/>
      <c r="C48" s="247" t="s">
        <v>42</v>
      </c>
      <c r="D48" s="247"/>
      <c r="E48" s="247"/>
      <c r="F48" s="247"/>
      <c r="G48" s="247"/>
      <c r="H48" s="247"/>
      <c r="I48" s="247"/>
      <c r="J48" s="247"/>
      <c r="K48" s="247"/>
      <c r="L48" s="247"/>
      <c r="M48" s="247"/>
      <c r="N48" s="247"/>
      <c r="O48" s="247"/>
      <c r="P48" s="247"/>
      <c r="Q48" s="247"/>
      <c r="R48" s="247"/>
      <c r="S48" s="247"/>
      <c r="T48" s="247"/>
      <c r="U48" s="54"/>
      <c r="V48" s="54"/>
      <c r="W48" s="247"/>
      <c r="X48" s="247"/>
      <c r="Y48" s="247"/>
      <c r="Z48" s="247"/>
      <c r="AA48" s="247"/>
      <c r="AB48" s="250"/>
      <c r="AC48" s="250"/>
      <c r="AD48" s="250"/>
      <c r="AE48" s="250"/>
      <c r="AF48" s="250"/>
      <c r="AG48" s="250"/>
      <c r="AH48" s="250"/>
      <c r="AI48" s="250"/>
      <c r="AJ48" s="250"/>
      <c r="AK48" s="250"/>
      <c r="AL48" s="250"/>
      <c r="AM48" s="250"/>
      <c r="AN48" s="250"/>
      <c r="AO48" s="250"/>
      <c r="AP48" s="250"/>
      <c r="AQ48" s="250"/>
      <c r="AR48" s="250"/>
      <c r="AS48" s="250"/>
      <c r="AT48" s="250"/>
      <c r="AU48" s="250"/>
      <c r="AV48" s="250"/>
      <c r="AW48" s="250"/>
      <c r="AX48" s="250"/>
      <c r="AY48" s="2"/>
      <c r="AZ48" s="11"/>
      <c r="BA48" s="2"/>
      <c r="BB48" s="1"/>
    </row>
    <row r="49" spans="1:54" ht="39.950000000000003" customHeight="1">
      <c r="A49" s="11"/>
      <c r="B49" s="2"/>
      <c r="C49" s="248" t="s">
        <v>43</v>
      </c>
      <c r="D49" s="248"/>
      <c r="E49" s="248"/>
      <c r="F49" s="248"/>
      <c r="G49" s="248"/>
      <c r="H49" s="248"/>
      <c r="I49" s="248"/>
      <c r="J49" s="248"/>
      <c r="K49" s="248"/>
      <c r="L49" s="248"/>
      <c r="M49" s="248"/>
      <c r="N49" s="248"/>
      <c r="O49" s="248"/>
      <c r="P49" s="248"/>
      <c r="Q49" s="248"/>
      <c r="R49" s="248"/>
      <c r="S49" s="248"/>
      <c r="T49" s="248"/>
      <c r="U49" s="54"/>
      <c r="V49" s="54"/>
      <c r="W49" s="247" t="s">
        <v>40</v>
      </c>
      <c r="X49" s="247"/>
      <c r="Y49" s="247"/>
      <c r="Z49" s="247"/>
      <c r="AA49" s="247"/>
      <c r="AB49" s="249" t="s">
        <v>349</v>
      </c>
      <c r="AC49" s="250"/>
      <c r="AD49" s="250"/>
      <c r="AE49" s="250"/>
      <c r="AF49" s="250"/>
      <c r="AG49" s="250"/>
      <c r="AH49" s="250"/>
      <c r="AI49" s="250"/>
      <c r="AJ49" s="250"/>
      <c r="AK49" s="250"/>
      <c r="AL49" s="250"/>
      <c r="AM49" s="250"/>
      <c r="AN49" s="250"/>
      <c r="AO49" s="250"/>
      <c r="AP49" s="250"/>
      <c r="AQ49" s="250"/>
      <c r="AR49" s="250"/>
      <c r="AS49" s="250"/>
      <c r="AT49" s="250"/>
      <c r="AU49" s="250"/>
      <c r="AV49" s="250"/>
      <c r="AW49" s="250"/>
      <c r="AX49" s="250"/>
      <c r="AY49" s="2"/>
      <c r="AZ49" s="11"/>
      <c r="BA49" s="2"/>
      <c r="BB49" s="1"/>
    </row>
    <row r="50" spans="1:54" ht="39.950000000000003" customHeight="1">
      <c r="A50" s="11"/>
      <c r="B50" s="2"/>
      <c r="C50" s="248"/>
      <c r="D50" s="248"/>
      <c r="E50" s="248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54"/>
      <c r="V50" s="54"/>
      <c r="W50" s="247"/>
      <c r="X50" s="247"/>
      <c r="Y50" s="247"/>
      <c r="Z50" s="247"/>
      <c r="AA50" s="247"/>
      <c r="AB50" s="250"/>
      <c r="AC50" s="250"/>
      <c r="AD50" s="250"/>
      <c r="AE50" s="250"/>
      <c r="AF50" s="250"/>
      <c r="AG50" s="250"/>
      <c r="AH50" s="250"/>
      <c r="AI50" s="250"/>
      <c r="AJ50" s="250"/>
      <c r="AK50" s="250"/>
      <c r="AL50" s="250"/>
      <c r="AM50" s="250"/>
      <c r="AN50" s="250"/>
      <c r="AO50" s="250"/>
      <c r="AP50" s="250"/>
      <c r="AQ50" s="250"/>
      <c r="AR50" s="250"/>
      <c r="AS50" s="250"/>
      <c r="AT50" s="250"/>
      <c r="AU50" s="250"/>
      <c r="AV50" s="250"/>
      <c r="AW50" s="250"/>
      <c r="AX50" s="250"/>
      <c r="AY50" s="2"/>
      <c r="AZ50" s="11"/>
      <c r="BA50" s="2"/>
      <c r="BB50" s="1"/>
    </row>
    <row r="51" spans="1:54" ht="39.950000000000003" customHeight="1">
      <c r="A51" s="11"/>
      <c r="B51" s="2"/>
      <c r="C51" s="55" t="s">
        <v>46</v>
      </c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5" t="s">
        <v>74</v>
      </c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2"/>
      <c r="AZ51" s="11"/>
      <c r="BA51" s="2"/>
      <c r="BB51" s="1"/>
    </row>
    <row r="52" spans="1:54" ht="39.950000000000003" customHeight="1">
      <c r="A52" s="1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11"/>
      <c r="BA52" s="2"/>
      <c r="BB52" s="1"/>
    </row>
    <row r="53" spans="1:54" ht="39.950000000000003" customHeight="1">
      <c r="A53" s="1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11"/>
      <c r="BA53" s="2"/>
      <c r="BB53" s="1"/>
    </row>
    <row r="54" spans="1:54" ht="46.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"/>
      <c r="BB54" s="1"/>
    </row>
    <row r="55" spans="1:54" ht="46.5" customHeight="1">
      <c r="A55" s="6"/>
    </row>
    <row r="56" spans="1:54" ht="46.5" customHeight="1">
      <c r="A56" s="6"/>
    </row>
    <row r="57" spans="1:54" ht="46.5" customHeight="1">
      <c r="A57" s="6"/>
    </row>
    <row r="58" spans="1:54" ht="46.5" customHeight="1"/>
  </sheetData>
  <sheetProtection algorithmName="SHA-512" hashValue="0vEFlu2YyIhziKP+ErOQz2S6ja5m9xq/Oq/lAP9X28vqPn36Ax+hHPthYckNrfFm9nF4Qx1Xah1bo3Kg8NYL+Q==" saltValue="1hcfzaiOzkemQJcHEay9wg==" spinCount="100000" sheet="1" formatCells="0" formatColumns="0" formatRows="0" insertColumns="0" insertRows="0" insertHyperlinks="0" deleteColumns="0" deleteRows="0" sort="0" autoFilter="0" pivotTables="0"/>
  <mergeCells count="497">
    <mergeCell ref="AA33:AD33"/>
    <mergeCell ref="AE33:AH33"/>
    <mergeCell ref="AI33:AL33"/>
    <mergeCell ref="AM33:AP33"/>
    <mergeCell ref="AQ33:AT33"/>
    <mergeCell ref="AU33:AX33"/>
    <mergeCell ref="C34:D34"/>
    <mergeCell ref="E34:H34"/>
    <mergeCell ref="I34:J34"/>
    <mergeCell ref="K34:L34"/>
    <mergeCell ref="M34:N34"/>
    <mergeCell ref="O34:P34"/>
    <mergeCell ref="Q34:R34"/>
    <mergeCell ref="S34:T34"/>
    <mergeCell ref="U34:V34"/>
    <mergeCell ref="W34:Z34"/>
    <mergeCell ref="AA34:AD34"/>
    <mergeCell ref="AE34:AH34"/>
    <mergeCell ref="AI34:AL34"/>
    <mergeCell ref="AM34:AP34"/>
    <mergeCell ref="AQ34:AT34"/>
    <mergeCell ref="AU34:AX34"/>
    <mergeCell ref="C33:D33"/>
    <mergeCell ref="E33:H33"/>
    <mergeCell ref="I33:J33"/>
    <mergeCell ref="K33:L33"/>
    <mergeCell ref="M33:N33"/>
    <mergeCell ref="O33:P33"/>
    <mergeCell ref="Q33:R33"/>
    <mergeCell ref="S33:T33"/>
    <mergeCell ref="U33:V33"/>
    <mergeCell ref="W31:Z31"/>
    <mergeCell ref="I31:J31"/>
    <mergeCell ref="K31:L31"/>
    <mergeCell ref="M31:N31"/>
    <mergeCell ref="O31:P31"/>
    <mergeCell ref="Q31:R31"/>
    <mergeCell ref="S31:T31"/>
    <mergeCell ref="U31:V31"/>
    <mergeCell ref="W33:Z33"/>
    <mergeCell ref="AA31:AD31"/>
    <mergeCell ref="AE31:AH31"/>
    <mergeCell ref="AI31:AL31"/>
    <mergeCell ref="AM31:AP31"/>
    <mergeCell ref="AQ31:AT31"/>
    <mergeCell ref="AU31:AX31"/>
    <mergeCell ref="C32:D32"/>
    <mergeCell ref="E32:H32"/>
    <mergeCell ref="I32:J32"/>
    <mergeCell ref="K32:L32"/>
    <mergeCell ref="M32:N32"/>
    <mergeCell ref="O32:P32"/>
    <mergeCell ref="Q32:R32"/>
    <mergeCell ref="S32:T32"/>
    <mergeCell ref="U32:V32"/>
    <mergeCell ref="W32:Z32"/>
    <mergeCell ref="AA32:AD32"/>
    <mergeCell ref="AE32:AH32"/>
    <mergeCell ref="AI32:AL32"/>
    <mergeCell ref="AM32:AP32"/>
    <mergeCell ref="AQ32:AT32"/>
    <mergeCell ref="AU32:AX32"/>
    <mergeCell ref="C31:D31"/>
    <mergeCell ref="E31:H31"/>
    <mergeCell ref="AA29:AD29"/>
    <mergeCell ref="AE29:AH29"/>
    <mergeCell ref="AI29:AL29"/>
    <mergeCell ref="AM29:AP29"/>
    <mergeCell ref="AQ29:AT29"/>
    <mergeCell ref="AU29:AX29"/>
    <mergeCell ref="C30:D30"/>
    <mergeCell ref="E30:H30"/>
    <mergeCell ref="I30:J30"/>
    <mergeCell ref="K30:L30"/>
    <mergeCell ref="M30:N30"/>
    <mergeCell ref="O30:P30"/>
    <mergeCell ref="Q30:R30"/>
    <mergeCell ref="S30:T30"/>
    <mergeCell ref="U30:V30"/>
    <mergeCell ref="W30:Z30"/>
    <mergeCell ref="AA30:AD30"/>
    <mergeCell ref="AE30:AH30"/>
    <mergeCell ref="AI30:AL30"/>
    <mergeCell ref="AM30:AP30"/>
    <mergeCell ref="AQ30:AT30"/>
    <mergeCell ref="AU30:AX30"/>
    <mergeCell ref="C29:D29"/>
    <mergeCell ref="E29:H29"/>
    <mergeCell ref="I29:J29"/>
    <mergeCell ref="K29:L29"/>
    <mergeCell ref="M29:N29"/>
    <mergeCell ref="O29:P29"/>
    <mergeCell ref="Q29:R29"/>
    <mergeCell ref="S29:T29"/>
    <mergeCell ref="U29:V29"/>
    <mergeCell ref="W27:Z27"/>
    <mergeCell ref="I27:J27"/>
    <mergeCell ref="K27:L27"/>
    <mergeCell ref="M27:N27"/>
    <mergeCell ref="O27:P27"/>
    <mergeCell ref="Q27:R27"/>
    <mergeCell ref="S27:T27"/>
    <mergeCell ref="U27:V27"/>
    <mergeCell ref="W29:Z29"/>
    <mergeCell ref="AA27:AD27"/>
    <mergeCell ref="AE27:AH27"/>
    <mergeCell ref="AI27:AL27"/>
    <mergeCell ref="AM27:AP27"/>
    <mergeCell ref="AQ27:AT27"/>
    <mergeCell ref="AU27:AX27"/>
    <mergeCell ref="C28:D28"/>
    <mergeCell ref="E28:H28"/>
    <mergeCell ref="I28:J28"/>
    <mergeCell ref="K28:L28"/>
    <mergeCell ref="M28:N28"/>
    <mergeCell ref="O28:P28"/>
    <mergeCell ref="Q28:R28"/>
    <mergeCell ref="S28:T28"/>
    <mergeCell ref="U28:V28"/>
    <mergeCell ref="W28:Z28"/>
    <mergeCell ref="AA28:AD28"/>
    <mergeCell ref="AE28:AH28"/>
    <mergeCell ref="AI28:AL28"/>
    <mergeCell ref="AM28:AP28"/>
    <mergeCell ref="AQ28:AT28"/>
    <mergeCell ref="AU28:AX28"/>
    <mergeCell ref="C27:D27"/>
    <mergeCell ref="E27:H27"/>
    <mergeCell ref="AA25:AD25"/>
    <mergeCell ref="AE25:AH25"/>
    <mergeCell ref="AI25:AL25"/>
    <mergeCell ref="AM25:AP25"/>
    <mergeCell ref="AQ25:AT25"/>
    <mergeCell ref="AU25:AX25"/>
    <mergeCell ref="C26:D26"/>
    <mergeCell ref="E26:H26"/>
    <mergeCell ref="I26:J26"/>
    <mergeCell ref="K26:L26"/>
    <mergeCell ref="M26:N26"/>
    <mergeCell ref="O26:P26"/>
    <mergeCell ref="Q26:R26"/>
    <mergeCell ref="S26:T26"/>
    <mergeCell ref="U26:V26"/>
    <mergeCell ref="W26:Z26"/>
    <mergeCell ref="AA26:AD26"/>
    <mergeCell ref="AE26:AH26"/>
    <mergeCell ref="AI26:AL26"/>
    <mergeCell ref="AM26:AP26"/>
    <mergeCell ref="AQ26:AT26"/>
    <mergeCell ref="AU26:AX26"/>
    <mergeCell ref="C25:D25"/>
    <mergeCell ref="E25:H25"/>
    <mergeCell ref="I25:J25"/>
    <mergeCell ref="K25:L25"/>
    <mergeCell ref="M25:N25"/>
    <mergeCell ref="O25:P25"/>
    <mergeCell ref="Q25:R25"/>
    <mergeCell ref="S25:T25"/>
    <mergeCell ref="U25:V25"/>
    <mergeCell ref="W23:Z23"/>
    <mergeCell ref="I23:J23"/>
    <mergeCell ref="K23:L23"/>
    <mergeCell ref="M23:N23"/>
    <mergeCell ref="O23:P23"/>
    <mergeCell ref="Q23:R23"/>
    <mergeCell ref="S23:T23"/>
    <mergeCell ref="U23:V23"/>
    <mergeCell ref="W25:Z25"/>
    <mergeCell ref="W24:Z24"/>
    <mergeCell ref="AA24:AD24"/>
    <mergeCell ref="AE24:AH24"/>
    <mergeCell ref="AI24:AL24"/>
    <mergeCell ref="AM24:AP24"/>
    <mergeCell ref="AQ24:AT24"/>
    <mergeCell ref="AU24:AX24"/>
    <mergeCell ref="C23:D23"/>
    <mergeCell ref="E23:H23"/>
    <mergeCell ref="C24:D24"/>
    <mergeCell ref="E24:H24"/>
    <mergeCell ref="I24:J24"/>
    <mergeCell ref="K24:L24"/>
    <mergeCell ref="M24:N24"/>
    <mergeCell ref="O24:P24"/>
    <mergeCell ref="Q24:R24"/>
    <mergeCell ref="S24:T24"/>
    <mergeCell ref="U24:V24"/>
    <mergeCell ref="AM22:AP22"/>
    <mergeCell ref="AQ22:AT22"/>
    <mergeCell ref="AU22:AX22"/>
    <mergeCell ref="C21:D21"/>
    <mergeCell ref="AA23:AD23"/>
    <mergeCell ref="AE23:AH23"/>
    <mergeCell ref="AI23:AL23"/>
    <mergeCell ref="AM23:AP23"/>
    <mergeCell ref="AQ23:AT23"/>
    <mergeCell ref="AU23:AX23"/>
    <mergeCell ref="C22:D22"/>
    <mergeCell ref="E22:H22"/>
    <mergeCell ref="I22:J22"/>
    <mergeCell ref="K22:L22"/>
    <mergeCell ref="M22:N22"/>
    <mergeCell ref="O22:P22"/>
    <mergeCell ref="Q22:R22"/>
    <mergeCell ref="S22:T22"/>
    <mergeCell ref="U22:V22"/>
    <mergeCell ref="E21:H21"/>
    <mergeCell ref="I21:J21"/>
    <mergeCell ref="K21:L21"/>
    <mergeCell ref="M21:N21"/>
    <mergeCell ref="O21:P21"/>
    <mergeCell ref="Q21:R21"/>
    <mergeCell ref="S21:T21"/>
    <mergeCell ref="U21:V21"/>
    <mergeCell ref="AV5:AX5"/>
    <mergeCell ref="AQ6:AT6"/>
    <mergeCell ref="AU6:AX6"/>
    <mergeCell ref="AU11:AX11"/>
    <mergeCell ref="W11:Z11"/>
    <mergeCell ref="AA11:AD11"/>
    <mergeCell ref="AE11:AH11"/>
    <mergeCell ref="AI11:AL11"/>
    <mergeCell ref="AM11:AP11"/>
    <mergeCell ref="AU12:AX12"/>
    <mergeCell ref="W12:Z12"/>
    <mergeCell ref="AA12:AD12"/>
    <mergeCell ref="AE12:AH12"/>
    <mergeCell ref="AI12:AL12"/>
    <mergeCell ref="C7:D9"/>
    <mergeCell ref="E7:J9"/>
    <mergeCell ref="K7:V7"/>
    <mergeCell ref="W7:Z9"/>
    <mergeCell ref="AA7:AD9"/>
    <mergeCell ref="AE7:AH9"/>
    <mergeCell ref="AM7:AT7"/>
    <mergeCell ref="AU7:AX9"/>
    <mergeCell ref="K8:N8"/>
    <mergeCell ref="O8:R8"/>
    <mergeCell ref="S8:V8"/>
    <mergeCell ref="AM8:AP8"/>
    <mergeCell ref="AQ8:AT8"/>
    <mergeCell ref="K9:L9"/>
    <mergeCell ref="M9:N9"/>
    <mergeCell ref="AQ9:AT9"/>
    <mergeCell ref="O9:P9"/>
    <mergeCell ref="Q9:R9"/>
    <mergeCell ref="S9:T9"/>
    <mergeCell ref="U9:V9"/>
    <mergeCell ref="AI9:AL9"/>
    <mergeCell ref="AM9:AP9"/>
    <mergeCell ref="AI7:AL8"/>
    <mergeCell ref="C11:D11"/>
    <mergeCell ref="E11:H11"/>
    <mergeCell ref="I11:J11"/>
    <mergeCell ref="K11:L11"/>
    <mergeCell ref="M11:N11"/>
    <mergeCell ref="O11:P11"/>
    <mergeCell ref="Q11:R11"/>
    <mergeCell ref="S11:T11"/>
    <mergeCell ref="U11:V11"/>
    <mergeCell ref="AU13:AX13"/>
    <mergeCell ref="W13:Z13"/>
    <mergeCell ref="AA13:AD13"/>
    <mergeCell ref="AE13:AH13"/>
    <mergeCell ref="AI13:AL13"/>
    <mergeCell ref="AM13:AP13"/>
    <mergeCell ref="AQ13:AT13"/>
    <mergeCell ref="E13:H13"/>
    <mergeCell ref="I13:J13"/>
    <mergeCell ref="K13:L13"/>
    <mergeCell ref="M13:N13"/>
    <mergeCell ref="O13:P13"/>
    <mergeCell ref="Q13:R13"/>
    <mergeCell ref="S13:T13"/>
    <mergeCell ref="U13:V13"/>
    <mergeCell ref="C12:D12"/>
    <mergeCell ref="E14:H14"/>
    <mergeCell ref="I14:J14"/>
    <mergeCell ref="K14:L14"/>
    <mergeCell ref="M14:N14"/>
    <mergeCell ref="O14:P14"/>
    <mergeCell ref="Q14:R14"/>
    <mergeCell ref="S14:T14"/>
    <mergeCell ref="U14:V14"/>
    <mergeCell ref="C13:D13"/>
    <mergeCell ref="AQ11:AT11"/>
    <mergeCell ref="E12:H12"/>
    <mergeCell ref="I12:J12"/>
    <mergeCell ref="K12:L12"/>
    <mergeCell ref="M12:N12"/>
    <mergeCell ref="O12:P12"/>
    <mergeCell ref="Q12:R12"/>
    <mergeCell ref="S12:T12"/>
    <mergeCell ref="U12:V12"/>
    <mergeCell ref="AM12:AP12"/>
    <mergeCell ref="AQ12:AT12"/>
    <mergeCell ref="AU14:AX14"/>
    <mergeCell ref="C15:D15"/>
    <mergeCell ref="E15:H15"/>
    <mergeCell ref="I15:J15"/>
    <mergeCell ref="K15:L15"/>
    <mergeCell ref="M15:N15"/>
    <mergeCell ref="O15:P15"/>
    <mergeCell ref="Q15:R15"/>
    <mergeCell ref="S15:T15"/>
    <mergeCell ref="U15:V15"/>
    <mergeCell ref="W14:Z14"/>
    <mergeCell ref="AA14:AD14"/>
    <mergeCell ref="AE14:AH14"/>
    <mergeCell ref="AI14:AL14"/>
    <mergeCell ref="AM14:AP14"/>
    <mergeCell ref="AQ14:AT14"/>
    <mergeCell ref="AU15:AX15"/>
    <mergeCell ref="W15:Z15"/>
    <mergeCell ref="AA15:AD15"/>
    <mergeCell ref="AE15:AH15"/>
    <mergeCell ref="AI15:AL15"/>
    <mergeCell ref="AM15:AP15"/>
    <mergeCell ref="AQ15:AT15"/>
    <mergeCell ref="C14:D14"/>
    <mergeCell ref="C16:D16"/>
    <mergeCell ref="E16:H16"/>
    <mergeCell ref="I16:J16"/>
    <mergeCell ref="K16:L16"/>
    <mergeCell ref="M16:N16"/>
    <mergeCell ref="O16:P16"/>
    <mergeCell ref="Q16:R16"/>
    <mergeCell ref="S16:T16"/>
    <mergeCell ref="U16:V16"/>
    <mergeCell ref="C17:D17"/>
    <mergeCell ref="E17:H17"/>
    <mergeCell ref="I17:J17"/>
    <mergeCell ref="K17:L17"/>
    <mergeCell ref="M17:N17"/>
    <mergeCell ref="O17:P17"/>
    <mergeCell ref="Q17:R17"/>
    <mergeCell ref="S17:T17"/>
    <mergeCell ref="U17:V17"/>
    <mergeCell ref="AU16:AX16"/>
    <mergeCell ref="W16:Z16"/>
    <mergeCell ref="AA16:AD16"/>
    <mergeCell ref="AE16:AH16"/>
    <mergeCell ref="AI16:AL16"/>
    <mergeCell ref="AM16:AP16"/>
    <mergeCell ref="AQ16:AT16"/>
    <mergeCell ref="AU17:AX17"/>
    <mergeCell ref="W17:Z17"/>
    <mergeCell ref="AA17:AD17"/>
    <mergeCell ref="AE17:AH17"/>
    <mergeCell ref="AI17:AL17"/>
    <mergeCell ref="AM17:AP17"/>
    <mergeCell ref="AQ17:AT17"/>
    <mergeCell ref="U19:V19"/>
    <mergeCell ref="E18:H18"/>
    <mergeCell ref="I18:J18"/>
    <mergeCell ref="K18:L18"/>
    <mergeCell ref="M18:N18"/>
    <mergeCell ref="O18:P18"/>
    <mergeCell ref="Q18:R18"/>
    <mergeCell ref="S18:T18"/>
    <mergeCell ref="U18:V18"/>
    <mergeCell ref="AA18:AD18"/>
    <mergeCell ref="AE18:AH18"/>
    <mergeCell ref="AI18:AL18"/>
    <mergeCell ref="AM18:AP18"/>
    <mergeCell ref="AQ18:AT18"/>
    <mergeCell ref="AU19:AX19"/>
    <mergeCell ref="W19:Z19"/>
    <mergeCell ref="AA19:AD19"/>
    <mergeCell ref="AE19:AH19"/>
    <mergeCell ref="AI19:AL19"/>
    <mergeCell ref="AM19:AP19"/>
    <mergeCell ref="AQ19:AT19"/>
    <mergeCell ref="AU18:AX18"/>
    <mergeCell ref="W18:Z18"/>
    <mergeCell ref="C18:D18"/>
    <mergeCell ref="C20:D20"/>
    <mergeCell ref="E20:H20"/>
    <mergeCell ref="I20:J20"/>
    <mergeCell ref="K20:L20"/>
    <mergeCell ref="M20:N20"/>
    <mergeCell ref="O20:P20"/>
    <mergeCell ref="Q20:R20"/>
    <mergeCell ref="S20:T20"/>
    <mergeCell ref="C19:D19"/>
    <mergeCell ref="E19:H19"/>
    <mergeCell ref="I19:J19"/>
    <mergeCell ref="K19:L19"/>
    <mergeCell ref="M19:N19"/>
    <mergeCell ref="O19:P19"/>
    <mergeCell ref="Q19:R19"/>
    <mergeCell ref="S19:T19"/>
    <mergeCell ref="U20:V20"/>
    <mergeCell ref="AU20:AX20"/>
    <mergeCell ref="W20:Z20"/>
    <mergeCell ref="AA20:AD20"/>
    <mergeCell ref="AE20:AH20"/>
    <mergeCell ref="AI20:AL20"/>
    <mergeCell ref="AM20:AP20"/>
    <mergeCell ref="AQ20:AT20"/>
    <mergeCell ref="AE35:AH35"/>
    <mergeCell ref="AI35:AL35"/>
    <mergeCell ref="AM35:AP35"/>
    <mergeCell ref="AQ35:AT35"/>
    <mergeCell ref="AU35:AX35"/>
    <mergeCell ref="W21:Z21"/>
    <mergeCell ref="AA21:AD21"/>
    <mergeCell ref="AE21:AH21"/>
    <mergeCell ref="AI21:AL21"/>
    <mergeCell ref="AM21:AP21"/>
    <mergeCell ref="AQ21:AT21"/>
    <mergeCell ref="AU21:AX21"/>
    <mergeCell ref="W22:Z22"/>
    <mergeCell ref="AA22:AD22"/>
    <mergeCell ref="AE22:AH22"/>
    <mergeCell ref="AI22:AL22"/>
    <mergeCell ref="V37:Y37"/>
    <mergeCell ref="AU37:AX37"/>
    <mergeCell ref="C35:J35"/>
    <mergeCell ref="K35:L35"/>
    <mergeCell ref="M35:N35"/>
    <mergeCell ref="O35:P35"/>
    <mergeCell ref="Q35:R35"/>
    <mergeCell ref="S35:T35"/>
    <mergeCell ref="U35:V35"/>
    <mergeCell ref="W35:Z35"/>
    <mergeCell ref="AA35:AD35"/>
    <mergeCell ref="AB38:AE38"/>
    <mergeCell ref="AF38:AG38"/>
    <mergeCell ref="AH38:AK38"/>
    <mergeCell ref="AL38:AP38"/>
    <mergeCell ref="AQ38:AT38"/>
    <mergeCell ref="AU38:AX38"/>
    <mergeCell ref="C38:F38"/>
    <mergeCell ref="G38:H38"/>
    <mergeCell ref="I38:L38"/>
    <mergeCell ref="M38:P38"/>
    <mergeCell ref="Q38:T38"/>
    <mergeCell ref="U38:Y38"/>
    <mergeCell ref="AB39:AE39"/>
    <mergeCell ref="AF39:AG39"/>
    <mergeCell ref="AH39:AK39"/>
    <mergeCell ref="AL39:AP39"/>
    <mergeCell ref="AQ39:AT39"/>
    <mergeCell ref="AU39:AX39"/>
    <mergeCell ref="C39:F39"/>
    <mergeCell ref="G39:H39"/>
    <mergeCell ref="I39:L39"/>
    <mergeCell ref="M39:P39"/>
    <mergeCell ref="Q39:T39"/>
    <mergeCell ref="U39:Y39"/>
    <mergeCell ref="AB40:AE40"/>
    <mergeCell ref="AF40:AG40"/>
    <mergeCell ref="AH40:AK40"/>
    <mergeCell ref="AL40:AP40"/>
    <mergeCell ref="AQ40:AT40"/>
    <mergeCell ref="AU40:AX40"/>
    <mergeCell ref="C40:F40"/>
    <mergeCell ref="G40:H40"/>
    <mergeCell ref="I40:L40"/>
    <mergeCell ref="M40:P40"/>
    <mergeCell ref="Q40:T40"/>
    <mergeCell ref="U40:Y40"/>
    <mergeCell ref="AB41:AE41"/>
    <mergeCell ref="AF41:AG41"/>
    <mergeCell ref="C41:F41"/>
    <mergeCell ref="G41:H41"/>
    <mergeCell ref="I41:L41"/>
    <mergeCell ref="M41:P41"/>
    <mergeCell ref="Q41:T41"/>
    <mergeCell ref="U41:Y41"/>
    <mergeCell ref="AH41:AX41"/>
    <mergeCell ref="AB42:AE42"/>
    <mergeCell ref="AF42:AG42"/>
    <mergeCell ref="AH42:AK42"/>
    <mergeCell ref="AL42:AP42"/>
    <mergeCell ref="AQ42:AT42"/>
    <mergeCell ref="AU42:AX42"/>
    <mergeCell ref="C42:F42"/>
    <mergeCell ref="G42:H42"/>
    <mergeCell ref="I42:L42"/>
    <mergeCell ref="M42:P42"/>
    <mergeCell ref="Q42:T42"/>
    <mergeCell ref="U42:Y42"/>
    <mergeCell ref="C48:T48"/>
    <mergeCell ref="C49:T50"/>
    <mergeCell ref="W49:AA50"/>
    <mergeCell ref="AB49:AX50"/>
    <mergeCell ref="C45:F45"/>
    <mergeCell ref="G45:O45"/>
    <mergeCell ref="P45:T45"/>
    <mergeCell ref="W45:AA46"/>
    <mergeCell ref="AB45:AX46"/>
    <mergeCell ref="C46:F47"/>
    <mergeCell ref="G46:O47"/>
    <mergeCell ref="P46:T47"/>
    <mergeCell ref="W47:AA48"/>
    <mergeCell ref="AB47:AX48"/>
  </mergeCells>
  <phoneticPr fontId="6" type="noConversion"/>
  <printOptions horizontalCentered="1" verticalCentered="1"/>
  <pageMargins left="0" right="0" top="3.937007874015748E-2" bottom="0" header="0" footer="0"/>
  <pageSetup paperSize="9" scale="25" fitToHeight="0" orientation="landscape" horizontalDpi="4294967292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  <pageSetUpPr fitToPage="1"/>
  </sheetPr>
  <dimension ref="A1:BB49"/>
  <sheetViews>
    <sheetView view="pageBreakPreview" zoomScale="25" zoomScaleNormal="40" zoomScaleSheetLayoutView="25" zoomScalePageLayoutView="25" workbookViewId="0">
      <selection activeCell="BM25" sqref="BL24:BM25"/>
    </sheetView>
  </sheetViews>
  <sheetFormatPr defaultRowHeight="45"/>
  <cols>
    <col min="1" max="51" width="9.375" style="7" customWidth="1"/>
    <col min="52" max="52" width="8.5" style="7" customWidth="1"/>
  </cols>
  <sheetData>
    <row r="1" spans="1:54" ht="4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 t="s">
        <v>60</v>
      </c>
    </row>
    <row r="2" spans="1:54" ht="46.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1"/>
      <c r="BA2" s="2"/>
      <c r="BB2" s="1" t="s">
        <v>61</v>
      </c>
    </row>
    <row r="3" spans="1:54" ht="46.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1"/>
      <c r="BA3" s="2"/>
      <c r="BB3" s="1" t="s">
        <v>62</v>
      </c>
    </row>
    <row r="4" spans="1:54" ht="46.5" customHeight="1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1"/>
      <c r="BA4" s="2"/>
      <c r="BB4" s="1"/>
    </row>
    <row r="5" spans="1:54" ht="46.5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3"/>
      <c r="AR5" s="3"/>
      <c r="AS5" s="3"/>
      <c r="AT5" s="8" t="s">
        <v>50</v>
      </c>
      <c r="AU5" s="8"/>
      <c r="AV5" s="235">
        <f ca="1">TODAY()</f>
        <v>45860</v>
      </c>
      <c r="AW5" s="235"/>
      <c r="AX5" s="235"/>
      <c r="AY5" s="2"/>
      <c r="AZ5" s="1"/>
      <c r="BA5" s="2"/>
      <c r="BB5" s="1"/>
    </row>
    <row r="6" spans="1:54" ht="46.5" customHeight="1">
      <c r="A6" s="1"/>
      <c r="B6" s="2"/>
      <c r="C6" s="4" t="s">
        <v>22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236"/>
      <c r="AR6" s="236"/>
      <c r="AS6" s="236"/>
      <c r="AT6" s="236"/>
      <c r="AU6" s="343" t="s">
        <v>51</v>
      </c>
      <c r="AV6" s="236"/>
      <c r="AW6" s="236"/>
      <c r="AX6" s="236"/>
      <c r="AY6" s="2"/>
      <c r="AZ6" s="1"/>
      <c r="BA6" s="2"/>
      <c r="BB6" s="1"/>
    </row>
    <row r="7" spans="1:54" ht="46.5" customHeight="1">
      <c r="A7" s="1"/>
      <c r="B7" s="2"/>
      <c r="C7" s="357" t="s">
        <v>9</v>
      </c>
      <c r="D7" s="358"/>
      <c r="E7" s="357" t="s">
        <v>10</v>
      </c>
      <c r="F7" s="363"/>
      <c r="G7" s="363"/>
      <c r="H7" s="363"/>
      <c r="I7" s="363"/>
      <c r="J7" s="358"/>
      <c r="K7" s="324" t="s">
        <v>14</v>
      </c>
      <c r="L7" s="324"/>
      <c r="M7" s="324"/>
      <c r="N7" s="324"/>
      <c r="O7" s="324"/>
      <c r="P7" s="324"/>
      <c r="Q7" s="324"/>
      <c r="R7" s="324"/>
      <c r="S7" s="324"/>
      <c r="T7" s="324"/>
      <c r="U7" s="324"/>
      <c r="V7" s="324"/>
      <c r="W7" s="366" t="s">
        <v>57</v>
      </c>
      <c r="X7" s="324"/>
      <c r="Y7" s="324"/>
      <c r="Z7" s="324"/>
      <c r="AA7" s="324" t="s">
        <v>1</v>
      </c>
      <c r="AB7" s="324"/>
      <c r="AC7" s="324"/>
      <c r="AD7" s="324"/>
      <c r="AE7" s="366" t="s">
        <v>58</v>
      </c>
      <c r="AF7" s="324"/>
      <c r="AG7" s="324"/>
      <c r="AH7" s="324"/>
      <c r="AI7" s="366" t="s">
        <v>11</v>
      </c>
      <c r="AJ7" s="366"/>
      <c r="AK7" s="366"/>
      <c r="AL7" s="366"/>
      <c r="AM7" s="324" t="s">
        <v>12</v>
      </c>
      <c r="AN7" s="324"/>
      <c r="AO7" s="324"/>
      <c r="AP7" s="324"/>
      <c r="AQ7" s="324"/>
      <c r="AR7" s="324"/>
      <c r="AS7" s="324"/>
      <c r="AT7" s="324"/>
      <c r="AU7" s="324" t="s">
        <v>2</v>
      </c>
      <c r="AV7" s="324"/>
      <c r="AW7" s="324"/>
      <c r="AX7" s="324"/>
      <c r="AY7" s="2"/>
      <c r="AZ7" s="1"/>
      <c r="BA7" s="2"/>
      <c r="BB7" s="1"/>
    </row>
    <row r="8" spans="1:54" ht="46.5" customHeight="1">
      <c r="A8" s="1"/>
      <c r="B8" s="2"/>
      <c r="C8" s="359"/>
      <c r="D8" s="360"/>
      <c r="E8" s="359"/>
      <c r="F8" s="364"/>
      <c r="G8" s="364"/>
      <c r="H8" s="364"/>
      <c r="I8" s="364"/>
      <c r="J8" s="360"/>
      <c r="K8" s="324" t="s">
        <v>4</v>
      </c>
      <c r="L8" s="324"/>
      <c r="M8" s="324"/>
      <c r="N8" s="324"/>
      <c r="O8" s="324" t="s">
        <v>7</v>
      </c>
      <c r="P8" s="324"/>
      <c r="Q8" s="324"/>
      <c r="R8" s="324"/>
      <c r="S8" s="324" t="s">
        <v>15</v>
      </c>
      <c r="T8" s="324"/>
      <c r="U8" s="324"/>
      <c r="V8" s="324"/>
      <c r="W8" s="324"/>
      <c r="X8" s="324"/>
      <c r="Y8" s="324"/>
      <c r="Z8" s="324"/>
      <c r="AA8" s="324"/>
      <c r="AB8" s="324"/>
      <c r="AC8" s="324"/>
      <c r="AD8" s="324"/>
      <c r="AE8" s="324"/>
      <c r="AF8" s="324"/>
      <c r="AG8" s="324"/>
      <c r="AH8" s="324"/>
      <c r="AI8" s="367">
        <v>0.1</v>
      </c>
      <c r="AJ8" s="324"/>
      <c r="AK8" s="324"/>
      <c r="AL8" s="324"/>
      <c r="AM8" s="324" t="s">
        <v>17</v>
      </c>
      <c r="AN8" s="324"/>
      <c r="AO8" s="324"/>
      <c r="AP8" s="324"/>
      <c r="AQ8" s="324" t="s">
        <v>18</v>
      </c>
      <c r="AR8" s="324"/>
      <c r="AS8" s="324"/>
      <c r="AT8" s="324"/>
      <c r="AU8" s="324"/>
      <c r="AV8" s="324"/>
      <c r="AW8" s="324"/>
      <c r="AX8" s="324"/>
      <c r="AY8" s="2"/>
      <c r="AZ8" s="1"/>
      <c r="BA8" s="2"/>
      <c r="BB8" s="1"/>
    </row>
    <row r="9" spans="1:54" ht="46.5" customHeight="1">
      <c r="A9" s="1"/>
      <c r="B9" s="2"/>
      <c r="C9" s="361"/>
      <c r="D9" s="362"/>
      <c r="E9" s="361"/>
      <c r="F9" s="365"/>
      <c r="G9" s="365"/>
      <c r="H9" s="365"/>
      <c r="I9" s="365"/>
      <c r="J9" s="362"/>
      <c r="K9" s="324" t="s">
        <v>5</v>
      </c>
      <c r="L9" s="324"/>
      <c r="M9" s="324" t="s">
        <v>6</v>
      </c>
      <c r="N9" s="324"/>
      <c r="O9" s="324" t="s">
        <v>5</v>
      </c>
      <c r="P9" s="324"/>
      <c r="Q9" s="324" t="s">
        <v>6</v>
      </c>
      <c r="R9" s="324"/>
      <c r="S9" s="324" t="s">
        <v>5</v>
      </c>
      <c r="T9" s="324"/>
      <c r="U9" s="324" t="s">
        <v>6</v>
      </c>
      <c r="V9" s="324"/>
      <c r="W9" s="324"/>
      <c r="X9" s="324"/>
      <c r="Y9" s="324"/>
      <c r="Z9" s="324"/>
      <c r="AA9" s="324"/>
      <c r="AB9" s="324"/>
      <c r="AC9" s="324"/>
      <c r="AD9" s="324"/>
      <c r="AE9" s="324"/>
      <c r="AF9" s="324"/>
      <c r="AG9" s="324"/>
      <c r="AH9" s="324"/>
      <c r="AI9" s="324" t="s">
        <v>13</v>
      </c>
      <c r="AJ9" s="324"/>
      <c r="AK9" s="324"/>
      <c r="AL9" s="324"/>
      <c r="AM9" s="324" t="s">
        <v>20</v>
      </c>
      <c r="AN9" s="324"/>
      <c r="AO9" s="324"/>
      <c r="AP9" s="324"/>
      <c r="AQ9" s="324" t="s">
        <v>19</v>
      </c>
      <c r="AR9" s="324"/>
      <c r="AS9" s="324"/>
      <c r="AT9" s="324"/>
      <c r="AU9" s="324"/>
      <c r="AV9" s="324"/>
      <c r="AW9" s="324"/>
      <c r="AX9" s="324"/>
      <c r="AY9" s="2"/>
      <c r="AZ9" s="1"/>
      <c r="BA9" s="2"/>
      <c r="BB9" s="1"/>
    </row>
    <row r="10" spans="1:54" ht="46.5" customHeight="1">
      <c r="A10" s="1"/>
      <c r="B10" s="2"/>
      <c r="C10" s="354">
        <v>301</v>
      </c>
      <c r="D10" s="356"/>
      <c r="E10" s="352" t="e">
        <f>IF($C10="","",VLOOKUP($C10,'분양가테이블(부가세기입X)'!A:T,2,FALSE))</f>
        <v>#N/A</v>
      </c>
      <c r="F10" s="382"/>
      <c r="G10" s="382"/>
      <c r="H10" s="353"/>
      <c r="I10" s="354" t="e">
        <f>IF($C10="","",VLOOKUP($C10,'분양가테이블(부가세기입X)'!A:T,3,FALSE))</f>
        <v>#N/A</v>
      </c>
      <c r="J10" s="356"/>
      <c r="K10" s="377" t="e">
        <f>IF($C10="","",VLOOKUP($C10,'분양가테이블(부가세기입X)'!A:T,4,FALSE))</f>
        <v>#N/A</v>
      </c>
      <c r="L10" s="377"/>
      <c r="M10" s="377" t="e">
        <f>IF($C10="","",VLOOKUP($C10,'분양가테이블(부가세기입X)'!A:T,5,FALSE))</f>
        <v>#N/A</v>
      </c>
      <c r="N10" s="377"/>
      <c r="O10" s="377" t="e">
        <f>IF($C10="","",VLOOKUP($C10,'분양가테이블(부가세기입X)'!A:T,8,FALSE))</f>
        <v>#N/A</v>
      </c>
      <c r="P10" s="377"/>
      <c r="Q10" s="377" t="e">
        <f>IF($C10="","",VLOOKUP($C10,'분양가테이블(부가세기입X)'!A:T,9,FALSE))</f>
        <v>#N/A</v>
      </c>
      <c r="R10" s="377"/>
      <c r="S10" s="377" t="e">
        <f>IF($C10="","",VLOOKUP($C10,'분양가테이블(부가세기입X)'!A:T,6,FALSE))</f>
        <v>#N/A</v>
      </c>
      <c r="T10" s="377"/>
      <c r="U10" s="377" t="e">
        <f>IF($C10="","",VLOOKUP($C10,'분양가테이블(부가세기입X)'!A:T,7,FALSE))</f>
        <v>#N/A</v>
      </c>
      <c r="V10" s="377"/>
      <c r="W10" s="345" t="e">
        <f>IF($C10="","",VLOOKUP($C10,'분양가테이블(부가세기입X)'!A:T,12,FALSE))</f>
        <v>#N/A</v>
      </c>
      <c r="X10" s="345"/>
      <c r="Y10" s="345"/>
      <c r="Z10" s="345"/>
      <c r="AA10" s="345"/>
      <c r="AB10" s="345"/>
      <c r="AC10" s="345"/>
      <c r="AD10" s="345"/>
      <c r="AE10" s="345"/>
      <c r="AF10" s="345"/>
      <c r="AG10" s="345"/>
      <c r="AH10" s="345"/>
      <c r="AI10" s="345">
        <f>AE10*10%</f>
        <v>0</v>
      </c>
      <c r="AJ10" s="345"/>
      <c r="AK10" s="345"/>
      <c r="AL10" s="345"/>
      <c r="AM10" s="345">
        <v>10000000</v>
      </c>
      <c r="AN10" s="345"/>
      <c r="AO10" s="345"/>
      <c r="AP10" s="345"/>
      <c r="AQ10" s="345">
        <f>AI10-AM10</f>
        <v>-10000000</v>
      </c>
      <c r="AR10" s="345"/>
      <c r="AS10" s="345"/>
      <c r="AT10" s="345"/>
      <c r="AU10" s="381"/>
      <c r="AV10" s="381"/>
      <c r="AW10" s="381"/>
      <c r="AX10" s="381"/>
      <c r="AY10" s="2"/>
      <c r="AZ10" s="1"/>
      <c r="BA10" s="2"/>
      <c r="BB10" s="1"/>
    </row>
    <row r="11" spans="1:54" ht="46.5" customHeight="1">
      <c r="A11" s="1"/>
      <c r="B11" s="2"/>
      <c r="C11" s="354">
        <v>201</v>
      </c>
      <c r="D11" s="355"/>
      <c r="E11" s="381" t="e">
        <f>IF($C11="","",VLOOKUP($C11,'분양가테이블(부가세기입X)'!A:T,2,FALSE))</f>
        <v>#N/A</v>
      </c>
      <c r="F11" s="381"/>
      <c r="G11" s="381"/>
      <c r="H11" s="381"/>
      <c r="I11" s="355" t="e">
        <f>IF($C11="","",VLOOKUP($C11,'분양가테이블(부가세기입X)'!A:T,3,FALSE))</f>
        <v>#N/A</v>
      </c>
      <c r="J11" s="356"/>
      <c r="K11" s="377" t="e">
        <f>IF($C11="","",VLOOKUP($C11,'분양가테이블(부가세기입X)'!A:T,4,FALSE))</f>
        <v>#N/A</v>
      </c>
      <c r="L11" s="377"/>
      <c r="M11" s="377" t="e">
        <f>IF($C11="","",VLOOKUP($C11,'분양가테이블(부가세기입X)'!A:T,5,FALSE))</f>
        <v>#N/A</v>
      </c>
      <c r="N11" s="377"/>
      <c r="O11" s="377" t="e">
        <f>IF($C11="","",VLOOKUP($C11,'분양가테이블(부가세기입X)'!A:T,8,FALSE))</f>
        <v>#N/A</v>
      </c>
      <c r="P11" s="377"/>
      <c r="Q11" s="377" t="e">
        <f>IF($C11="","",VLOOKUP($C11,'분양가테이블(부가세기입X)'!A:T,9,FALSE))</f>
        <v>#N/A</v>
      </c>
      <c r="R11" s="377"/>
      <c r="S11" s="377" t="e">
        <f>IF($C11="","",VLOOKUP($C11,'분양가테이블(부가세기입X)'!A:T,6,FALSE))</f>
        <v>#N/A</v>
      </c>
      <c r="T11" s="377"/>
      <c r="U11" s="377" t="e">
        <f>IF($C11="","",VLOOKUP($C11,'분양가테이블(부가세기입X)'!A:T,7,FALSE))</f>
        <v>#N/A</v>
      </c>
      <c r="V11" s="377"/>
      <c r="W11" s="345" t="e">
        <f>IF($C11="","",VLOOKUP($C11,'분양가테이블(부가세기입X)'!A:T,12,FALSE))</f>
        <v>#N/A</v>
      </c>
      <c r="X11" s="345"/>
      <c r="Y11" s="345"/>
      <c r="Z11" s="345"/>
      <c r="AA11" s="345"/>
      <c r="AB11" s="345"/>
      <c r="AC11" s="345"/>
      <c r="AD11" s="345"/>
      <c r="AE11" s="345"/>
      <c r="AF11" s="345"/>
      <c r="AG11" s="345"/>
      <c r="AH11" s="345"/>
      <c r="AI11" s="345">
        <f>AE11*10%</f>
        <v>0</v>
      </c>
      <c r="AJ11" s="345"/>
      <c r="AK11" s="345"/>
      <c r="AL11" s="345"/>
      <c r="AM11" s="345"/>
      <c r="AN11" s="345"/>
      <c r="AO11" s="345"/>
      <c r="AP11" s="345"/>
      <c r="AQ11" s="345">
        <f>AI11-AM11</f>
        <v>0</v>
      </c>
      <c r="AR11" s="345"/>
      <c r="AS11" s="345"/>
      <c r="AT11" s="345"/>
      <c r="AU11" s="381"/>
      <c r="AV11" s="381"/>
      <c r="AW11" s="381"/>
      <c r="AX11" s="381"/>
      <c r="AY11" s="2"/>
      <c r="AZ11" s="1"/>
      <c r="BA11" s="2"/>
      <c r="BB11" s="1"/>
    </row>
    <row r="12" spans="1:54" ht="46.5" customHeight="1">
      <c r="A12" s="1"/>
      <c r="B12" s="2"/>
      <c r="C12" s="354">
        <v>311</v>
      </c>
      <c r="D12" s="356"/>
      <c r="E12" s="378" t="e">
        <f>IF($C12="","",VLOOKUP($C12,'분양가테이블(부가세기입X)'!A:T,2,FALSE))</f>
        <v>#N/A</v>
      </c>
      <c r="F12" s="379"/>
      <c r="G12" s="379"/>
      <c r="H12" s="380"/>
      <c r="I12" s="354" t="e">
        <f>IF($C12="","",VLOOKUP($C12,'분양가테이블(부가세기입X)'!A:T,3,FALSE))</f>
        <v>#N/A</v>
      </c>
      <c r="J12" s="356"/>
      <c r="K12" s="377" t="e">
        <f>IF($C12="","",VLOOKUP($C12,'분양가테이블(부가세기입X)'!A:T,4,FALSE))</f>
        <v>#N/A</v>
      </c>
      <c r="L12" s="377"/>
      <c r="M12" s="377" t="e">
        <f>IF($C12="","",VLOOKUP($C12,'분양가테이블(부가세기입X)'!A:T,5,FALSE))</f>
        <v>#N/A</v>
      </c>
      <c r="N12" s="377"/>
      <c r="O12" s="377" t="e">
        <f>IF($C12="","",VLOOKUP($C12,'분양가테이블(부가세기입X)'!A:T,8,FALSE))</f>
        <v>#N/A</v>
      </c>
      <c r="P12" s="377"/>
      <c r="Q12" s="377" t="e">
        <f>IF($C12="","",VLOOKUP($C12,'분양가테이블(부가세기입X)'!A:T,9,FALSE))</f>
        <v>#N/A</v>
      </c>
      <c r="R12" s="377"/>
      <c r="S12" s="377" t="e">
        <f>IF($C12="","",VLOOKUP($C12,'분양가테이블(부가세기입X)'!A:T,6,FALSE))</f>
        <v>#N/A</v>
      </c>
      <c r="T12" s="377"/>
      <c r="U12" s="377" t="e">
        <f>IF($C12="","",VLOOKUP($C12,'분양가테이블(부가세기입X)'!A:T,7,FALSE))</f>
        <v>#N/A</v>
      </c>
      <c r="V12" s="377"/>
      <c r="W12" s="345" t="e">
        <f>IF($C12="","",VLOOKUP($C12,'분양가테이블(부가세기입X)'!A:T,12,FALSE))</f>
        <v>#N/A</v>
      </c>
      <c r="X12" s="345"/>
      <c r="Y12" s="345"/>
      <c r="Z12" s="345"/>
      <c r="AA12" s="345"/>
      <c r="AB12" s="345"/>
      <c r="AC12" s="345"/>
      <c r="AD12" s="345"/>
      <c r="AE12" s="345"/>
      <c r="AF12" s="345"/>
      <c r="AG12" s="345"/>
      <c r="AH12" s="345"/>
      <c r="AI12" s="345">
        <f>AE12*10%</f>
        <v>0</v>
      </c>
      <c r="AJ12" s="345"/>
      <c r="AK12" s="345"/>
      <c r="AL12" s="345"/>
      <c r="AM12" s="345"/>
      <c r="AN12" s="345"/>
      <c r="AO12" s="345"/>
      <c r="AP12" s="345"/>
      <c r="AQ12" s="345">
        <f>AI12-AM12</f>
        <v>0</v>
      </c>
      <c r="AR12" s="345"/>
      <c r="AS12" s="345"/>
      <c r="AT12" s="345"/>
      <c r="AU12" s="381"/>
      <c r="AV12" s="381"/>
      <c r="AW12" s="381"/>
      <c r="AX12" s="381"/>
      <c r="AY12" s="2"/>
      <c r="AZ12" s="1"/>
      <c r="BA12" s="2"/>
      <c r="BB12" s="1"/>
    </row>
    <row r="13" spans="1:54" ht="46.5" customHeight="1">
      <c r="A13" s="1"/>
      <c r="B13" s="2"/>
      <c r="C13" s="354">
        <v>311</v>
      </c>
      <c r="D13" s="356"/>
      <c r="E13" s="354" t="e">
        <f>IF($C13="","",VLOOKUP($C13,'분양가테이블(부가세기입X)'!A:T,2,FALSE))</f>
        <v>#N/A</v>
      </c>
      <c r="F13" s="355"/>
      <c r="G13" s="355"/>
      <c r="H13" s="356"/>
      <c r="I13" s="354" t="e">
        <f>IF($C13="","",VLOOKUP($C13,'분양가테이블(부가세기입X)'!A:T,3,FALSE))</f>
        <v>#N/A</v>
      </c>
      <c r="J13" s="356"/>
      <c r="K13" s="377" t="e">
        <f>IF($C13="","",VLOOKUP($C13,'분양가테이블(부가세기입X)'!A:T,4,FALSE))</f>
        <v>#N/A</v>
      </c>
      <c r="L13" s="377"/>
      <c r="M13" s="377" t="e">
        <f>IF($C13="","",VLOOKUP($C13,'분양가테이블(부가세기입X)'!A:T,5,FALSE))</f>
        <v>#N/A</v>
      </c>
      <c r="N13" s="377"/>
      <c r="O13" s="377" t="e">
        <f>IF($C13="","",VLOOKUP($C13,'분양가테이블(부가세기입X)'!A:T,8,FALSE))</f>
        <v>#N/A</v>
      </c>
      <c r="P13" s="377"/>
      <c r="Q13" s="377" t="e">
        <f>IF($C13="","",VLOOKUP($C13,'분양가테이블(부가세기입X)'!A:T,9,FALSE))</f>
        <v>#N/A</v>
      </c>
      <c r="R13" s="377"/>
      <c r="S13" s="377" t="e">
        <f>IF($C13="","",VLOOKUP($C13,'분양가테이블(부가세기입X)'!A:T,6,FALSE))</f>
        <v>#N/A</v>
      </c>
      <c r="T13" s="377"/>
      <c r="U13" s="377" t="e">
        <f>IF($C13="","",VLOOKUP($C13,'분양가테이블(부가세기입X)'!A:T,7,FALSE))</f>
        <v>#N/A</v>
      </c>
      <c r="V13" s="377"/>
      <c r="W13" s="345" t="e">
        <f>IF($C13="","",VLOOKUP($C13,'분양가테이블(부가세기입X)'!A:T,12,FALSE))</f>
        <v>#N/A</v>
      </c>
      <c r="X13" s="345"/>
      <c r="Y13" s="345"/>
      <c r="Z13" s="345"/>
      <c r="AA13" s="345"/>
      <c r="AB13" s="345"/>
      <c r="AC13" s="345"/>
      <c r="AD13" s="345"/>
      <c r="AE13" s="345"/>
      <c r="AF13" s="345"/>
      <c r="AG13" s="345"/>
      <c r="AH13" s="345"/>
      <c r="AI13" s="345">
        <f>AE13*10%</f>
        <v>0</v>
      </c>
      <c r="AJ13" s="345"/>
      <c r="AK13" s="345"/>
      <c r="AL13" s="345"/>
      <c r="AM13" s="345"/>
      <c r="AN13" s="345"/>
      <c r="AO13" s="345"/>
      <c r="AP13" s="345"/>
      <c r="AQ13" s="345">
        <f>AI13-AM13</f>
        <v>0</v>
      </c>
      <c r="AR13" s="345"/>
      <c r="AS13" s="345"/>
      <c r="AT13" s="345"/>
      <c r="AU13" s="381"/>
      <c r="AV13" s="381"/>
      <c r="AW13" s="381"/>
      <c r="AX13" s="381"/>
      <c r="AY13" s="2"/>
      <c r="AZ13" s="1"/>
      <c r="BA13" s="2"/>
      <c r="BB13" s="1"/>
    </row>
    <row r="14" spans="1:54" ht="46.5" customHeight="1" thickBot="1">
      <c r="A14" s="1"/>
      <c r="B14" s="2"/>
      <c r="C14" s="375">
        <v>311</v>
      </c>
      <c r="D14" s="376"/>
      <c r="E14" s="354" t="e">
        <f>IF($C14="","",VLOOKUP($C14,'분양가테이블(부가세기입X)'!A:T,2,FALSE))</f>
        <v>#N/A</v>
      </c>
      <c r="F14" s="355"/>
      <c r="G14" s="355"/>
      <c r="H14" s="356"/>
      <c r="I14" s="354" t="e">
        <f>IF($C14="","",VLOOKUP($C14,'분양가테이블(부가세기입X)'!A:T,3,FALSE))</f>
        <v>#N/A</v>
      </c>
      <c r="J14" s="356"/>
      <c r="K14" s="377" t="e">
        <f>IF($C14="","",VLOOKUP($C14,'분양가테이블(부가세기입X)'!A:T,4,FALSE))</f>
        <v>#N/A</v>
      </c>
      <c r="L14" s="377"/>
      <c r="M14" s="377" t="e">
        <f>IF($C14="","",VLOOKUP($C14,'분양가테이블(부가세기입X)'!A:T,5,FALSE))</f>
        <v>#N/A</v>
      </c>
      <c r="N14" s="377"/>
      <c r="O14" s="377" t="e">
        <f>IF($C14="","",VLOOKUP($C14,'분양가테이블(부가세기입X)'!A:T,8,FALSE))</f>
        <v>#N/A</v>
      </c>
      <c r="P14" s="377"/>
      <c r="Q14" s="377" t="e">
        <f>IF($C14="","",VLOOKUP($C14,'분양가테이블(부가세기입X)'!A:T,9,FALSE))</f>
        <v>#N/A</v>
      </c>
      <c r="R14" s="377"/>
      <c r="S14" s="377" t="e">
        <f>IF($C14="","",VLOOKUP($C14,'분양가테이블(부가세기입X)'!A:T,6,FALSE))</f>
        <v>#N/A</v>
      </c>
      <c r="T14" s="377"/>
      <c r="U14" s="377" t="e">
        <f>IF($C14="","",VLOOKUP($C14,'분양가테이블(부가세기입X)'!A:T,7,FALSE))</f>
        <v>#N/A</v>
      </c>
      <c r="V14" s="377"/>
      <c r="W14" s="345" t="e">
        <f>IF($C14="","",VLOOKUP($C14,'분양가테이블(부가세기입X)'!A:T,12,FALSE))</f>
        <v>#N/A</v>
      </c>
      <c r="X14" s="345"/>
      <c r="Y14" s="345"/>
      <c r="Z14" s="345"/>
      <c r="AA14" s="345"/>
      <c r="AB14" s="345"/>
      <c r="AC14" s="345"/>
      <c r="AD14" s="345"/>
      <c r="AE14" s="345"/>
      <c r="AF14" s="345"/>
      <c r="AG14" s="345"/>
      <c r="AH14" s="345"/>
      <c r="AI14" s="345">
        <f>AE14*10%</f>
        <v>0</v>
      </c>
      <c r="AJ14" s="345"/>
      <c r="AK14" s="345"/>
      <c r="AL14" s="345"/>
      <c r="AM14" s="374"/>
      <c r="AN14" s="374"/>
      <c r="AO14" s="374"/>
      <c r="AP14" s="374"/>
      <c r="AQ14" s="345">
        <f>AI14-AM14</f>
        <v>0</v>
      </c>
      <c r="AR14" s="345"/>
      <c r="AS14" s="345"/>
      <c r="AT14" s="345"/>
      <c r="AU14" s="370"/>
      <c r="AV14" s="370"/>
      <c r="AW14" s="370"/>
      <c r="AX14" s="370"/>
      <c r="AY14" s="2"/>
      <c r="AZ14" s="1"/>
      <c r="BA14" s="2"/>
      <c r="BB14" s="1"/>
    </row>
    <row r="15" spans="1:54" ht="46.5" customHeight="1" thickBot="1">
      <c r="A15" s="1"/>
      <c r="B15" s="2"/>
      <c r="C15" s="371" t="s">
        <v>29</v>
      </c>
      <c r="D15" s="372"/>
      <c r="E15" s="372"/>
      <c r="F15" s="372"/>
      <c r="G15" s="372"/>
      <c r="H15" s="372"/>
      <c r="I15" s="372"/>
      <c r="J15" s="373"/>
      <c r="K15" s="344" t="e">
        <f>SUM(K10:L14)</f>
        <v>#N/A</v>
      </c>
      <c r="L15" s="344"/>
      <c r="M15" s="344" t="e">
        <f>SUM(M10:N14)</f>
        <v>#N/A</v>
      </c>
      <c r="N15" s="344"/>
      <c r="O15" s="344" t="e">
        <f>SUM(O10:P14)</f>
        <v>#N/A</v>
      </c>
      <c r="P15" s="344"/>
      <c r="Q15" s="344" t="e">
        <f>SUM(Q10:R14)</f>
        <v>#N/A</v>
      </c>
      <c r="R15" s="344"/>
      <c r="S15" s="344" t="e">
        <f>SUM(S10:T14)</f>
        <v>#N/A</v>
      </c>
      <c r="T15" s="344"/>
      <c r="U15" s="344" t="e">
        <f>SUM(U10:V14)</f>
        <v>#N/A</v>
      </c>
      <c r="V15" s="344"/>
      <c r="W15" s="340" t="e">
        <f>SUM(W10:Z14)</f>
        <v>#N/A</v>
      </c>
      <c r="X15" s="340"/>
      <c r="Y15" s="340"/>
      <c r="Z15" s="340"/>
      <c r="AA15" s="340">
        <f>SUM(AA10:AD14)</f>
        <v>0</v>
      </c>
      <c r="AB15" s="340"/>
      <c r="AC15" s="340"/>
      <c r="AD15" s="340"/>
      <c r="AE15" s="340">
        <f>SUM(AE10:AH14)</f>
        <v>0</v>
      </c>
      <c r="AF15" s="340"/>
      <c r="AG15" s="340"/>
      <c r="AH15" s="340"/>
      <c r="AI15" s="340">
        <f>SUM(AI10:AL14)</f>
        <v>0</v>
      </c>
      <c r="AJ15" s="340"/>
      <c r="AK15" s="340"/>
      <c r="AL15" s="340"/>
      <c r="AM15" s="340">
        <f>SUM(AM10:AP14)</f>
        <v>10000000</v>
      </c>
      <c r="AN15" s="340"/>
      <c r="AO15" s="340"/>
      <c r="AP15" s="340"/>
      <c r="AQ15" s="340">
        <f>SUM(AQ10:AT14)</f>
        <v>-10000000</v>
      </c>
      <c r="AR15" s="340"/>
      <c r="AS15" s="340"/>
      <c r="AT15" s="340"/>
      <c r="AU15" s="368" t="s">
        <v>33</v>
      </c>
      <c r="AV15" s="368"/>
      <c r="AW15" s="368"/>
      <c r="AX15" s="369"/>
      <c r="AY15" s="2"/>
      <c r="AZ15" s="1"/>
      <c r="BA15" s="2"/>
      <c r="BB15" s="1"/>
    </row>
    <row r="16" spans="1:54" ht="46.5" customHeight="1">
      <c r="A16" s="1"/>
      <c r="B16" s="2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2"/>
      <c r="AZ16" s="1"/>
      <c r="BA16" s="2"/>
      <c r="BB16" s="1"/>
    </row>
    <row r="17" spans="1:54" ht="46.5" customHeight="1">
      <c r="A17" s="1"/>
      <c r="B17" s="2"/>
      <c r="C17" s="4" t="s">
        <v>21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43" t="s">
        <v>51</v>
      </c>
      <c r="AV17" s="236"/>
      <c r="AW17" s="236"/>
      <c r="AX17" s="236"/>
      <c r="AY17" s="2"/>
      <c r="AZ17" s="1"/>
      <c r="BA17" s="2"/>
      <c r="BB17" s="1"/>
    </row>
    <row r="18" spans="1:54" ht="46.5" customHeight="1">
      <c r="A18" s="1"/>
      <c r="B18" s="2"/>
      <c r="C18" s="357" t="s">
        <v>9</v>
      </c>
      <c r="D18" s="358"/>
      <c r="E18" s="357" t="s">
        <v>10</v>
      </c>
      <c r="F18" s="363"/>
      <c r="G18" s="363"/>
      <c r="H18" s="363"/>
      <c r="I18" s="363"/>
      <c r="J18" s="358"/>
      <c r="K18" s="324" t="s">
        <v>14</v>
      </c>
      <c r="L18" s="324"/>
      <c r="M18" s="324"/>
      <c r="N18" s="324"/>
      <c r="O18" s="324"/>
      <c r="P18" s="324"/>
      <c r="Q18" s="324"/>
      <c r="R18" s="324"/>
      <c r="S18" s="324"/>
      <c r="T18" s="324"/>
      <c r="U18" s="324"/>
      <c r="V18" s="324"/>
      <c r="W18" s="324" t="s">
        <v>8</v>
      </c>
      <c r="X18" s="324"/>
      <c r="Y18" s="324"/>
      <c r="Z18" s="324"/>
      <c r="AA18" s="324" t="s">
        <v>1</v>
      </c>
      <c r="AB18" s="324"/>
      <c r="AC18" s="324"/>
      <c r="AD18" s="324"/>
      <c r="AE18" s="324" t="s">
        <v>16</v>
      </c>
      <c r="AF18" s="324"/>
      <c r="AG18" s="324"/>
      <c r="AH18" s="324"/>
      <c r="AI18" s="366" t="s">
        <v>11</v>
      </c>
      <c r="AJ18" s="366"/>
      <c r="AK18" s="366"/>
      <c r="AL18" s="366"/>
      <c r="AM18" s="324" t="s">
        <v>12</v>
      </c>
      <c r="AN18" s="324"/>
      <c r="AO18" s="324"/>
      <c r="AP18" s="324"/>
      <c r="AQ18" s="324"/>
      <c r="AR18" s="324"/>
      <c r="AS18" s="324"/>
      <c r="AT18" s="324"/>
      <c r="AU18" s="324" t="s">
        <v>2</v>
      </c>
      <c r="AV18" s="324"/>
      <c r="AW18" s="324"/>
      <c r="AX18" s="324"/>
      <c r="AY18" s="2"/>
      <c r="AZ18" s="1"/>
      <c r="BA18" s="2"/>
      <c r="BB18" s="1"/>
    </row>
    <row r="19" spans="1:54" ht="46.5" customHeight="1">
      <c r="A19" s="1"/>
      <c r="B19" s="2"/>
      <c r="C19" s="359"/>
      <c r="D19" s="360"/>
      <c r="E19" s="359"/>
      <c r="F19" s="364"/>
      <c r="G19" s="364"/>
      <c r="H19" s="364"/>
      <c r="I19" s="364"/>
      <c r="J19" s="360"/>
      <c r="K19" s="324" t="s">
        <v>4</v>
      </c>
      <c r="L19" s="324"/>
      <c r="M19" s="324"/>
      <c r="N19" s="324"/>
      <c r="O19" s="324" t="s">
        <v>7</v>
      </c>
      <c r="P19" s="324"/>
      <c r="Q19" s="324"/>
      <c r="R19" s="324"/>
      <c r="S19" s="324" t="s">
        <v>15</v>
      </c>
      <c r="T19" s="324"/>
      <c r="U19" s="324"/>
      <c r="V19" s="324"/>
      <c r="W19" s="324"/>
      <c r="X19" s="324"/>
      <c r="Y19" s="324"/>
      <c r="Z19" s="324"/>
      <c r="AA19" s="324"/>
      <c r="AB19" s="324"/>
      <c r="AC19" s="324"/>
      <c r="AD19" s="324"/>
      <c r="AE19" s="324"/>
      <c r="AF19" s="324"/>
      <c r="AG19" s="324"/>
      <c r="AH19" s="324"/>
      <c r="AI19" s="367">
        <v>0.1</v>
      </c>
      <c r="AJ19" s="324"/>
      <c r="AK19" s="324"/>
      <c r="AL19" s="324"/>
      <c r="AM19" s="324" t="s">
        <v>17</v>
      </c>
      <c r="AN19" s="324"/>
      <c r="AO19" s="324"/>
      <c r="AP19" s="324"/>
      <c r="AQ19" s="324" t="s">
        <v>18</v>
      </c>
      <c r="AR19" s="324"/>
      <c r="AS19" s="324"/>
      <c r="AT19" s="324"/>
      <c r="AU19" s="324"/>
      <c r="AV19" s="324"/>
      <c r="AW19" s="324"/>
      <c r="AX19" s="324"/>
      <c r="AY19" s="2"/>
      <c r="AZ19" s="1"/>
      <c r="BA19" s="2"/>
      <c r="BB19" s="1"/>
    </row>
    <row r="20" spans="1:54" ht="46.5" customHeight="1">
      <c r="A20" s="1"/>
      <c r="B20" s="2"/>
      <c r="C20" s="361"/>
      <c r="D20" s="362"/>
      <c r="E20" s="361"/>
      <c r="F20" s="365"/>
      <c r="G20" s="365"/>
      <c r="H20" s="365"/>
      <c r="I20" s="365"/>
      <c r="J20" s="362"/>
      <c r="K20" s="324" t="s">
        <v>5</v>
      </c>
      <c r="L20" s="324"/>
      <c r="M20" s="324" t="s">
        <v>6</v>
      </c>
      <c r="N20" s="324"/>
      <c r="O20" s="324" t="s">
        <v>5</v>
      </c>
      <c r="P20" s="324"/>
      <c r="Q20" s="324" t="s">
        <v>6</v>
      </c>
      <c r="R20" s="324"/>
      <c r="S20" s="324" t="s">
        <v>5</v>
      </c>
      <c r="T20" s="324"/>
      <c r="U20" s="324" t="s">
        <v>6</v>
      </c>
      <c r="V20" s="324"/>
      <c r="W20" s="324"/>
      <c r="X20" s="324"/>
      <c r="Y20" s="324"/>
      <c r="Z20" s="324"/>
      <c r="AA20" s="324"/>
      <c r="AB20" s="324"/>
      <c r="AC20" s="324"/>
      <c r="AD20" s="324"/>
      <c r="AE20" s="324"/>
      <c r="AF20" s="324"/>
      <c r="AG20" s="324"/>
      <c r="AH20" s="324"/>
      <c r="AI20" s="324" t="s">
        <v>13</v>
      </c>
      <c r="AJ20" s="324"/>
      <c r="AK20" s="324"/>
      <c r="AL20" s="324"/>
      <c r="AM20" s="324" t="s">
        <v>20</v>
      </c>
      <c r="AN20" s="324"/>
      <c r="AO20" s="324"/>
      <c r="AP20" s="324"/>
      <c r="AQ20" s="324" t="s">
        <v>19</v>
      </c>
      <c r="AR20" s="324"/>
      <c r="AS20" s="324"/>
      <c r="AT20" s="324"/>
      <c r="AU20" s="324"/>
      <c r="AV20" s="324"/>
      <c r="AW20" s="324"/>
      <c r="AX20" s="324"/>
      <c r="AY20" s="2"/>
      <c r="AZ20" s="1"/>
      <c r="BA20" s="2"/>
      <c r="BB20" s="1"/>
    </row>
    <row r="21" spans="1:54" ht="46.5" customHeight="1">
      <c r="A21" s="1"/>
      <c r="B21" s="2"/>
      <c r="C21" s="354">
        <v>210</v>
      </c>
      <c r="D21" s="356"/>
      <c r="E21" s="354" t="e">
        <f>IF($C21="","",VLOOKUP($C21,'분양가테이블(부가세기입X)'!A:T,2,FALSE))</f>
        <v>#N/A</v>
      </c>
      <c r="F21" s="355"/>
      <c r="G21" s="355"/>
      <c r="H21" s="356"/>
      <c r="I21" s="354" t="e">
        <f>IF($C21="","",VLOOKUP($C21,'분양가테이블(부가세기입X)'!A:T,3,FALSE))</f>
        <v>#N/A</v>
      </c>
      <c r="J21" s="356"/>
      <c r="K21" s="350" t="e">
        <f>IF($C21="","",VLOOKUP($C21,'분양가테이블(부가세기입X)'!A:T,4,FALSE))</f>
        <v>#N/A</v>
      </c>
      <c r="L21" s="350"/>
      <c r="M21" s="350" t="e">
        <f>IF($C21="","",VLOOKUP($C21,'분양가테이블(부가세기입X)'!A:T,5,FALSE))</f>
        <v>#N/A</v>
      </c>
      <c r="N21" s="350"/>
      <c r="O21" s="350" t="e">
        <f>IF($C21="","",VLOOKUP($C21,'분양가테이블(부가세기입X)'!A:T,8,FALSE))</f>
        <v>#N/A</v>
      </c>
      <c r="P21" s="350"/>
      <c r="Q21" s="350" t="e">
        <f>IF($C21="","",VLOOKUP($C21,'분양가테이블(부가세기입X)'!A:T,9,FALSE))</f>
        <v>#N/A</v>
      </c>
      <c r="R21" s="350"/>
      <c r="S21" s="350" t="e">
        <f>IF($C21="","",VLOOKUP($C21,'분양가테이블(부가세기입X)'!A:T,6,FALSE))</f>
        <v>#N/A</v>
      </c>
      <c r="T21" s="350"/>
      <c r="U21" s="350" t="e">
        <f>IF($C21="","",VLOOKUP($C21,'분양가테이블(부가세기입X)'!A:T,7,FALSE))</f>
        <v>#N/A</v>
      </c>
      <c r="V21" s="350"/>
      <c r="W21" s="351" t="e">
        <f>IF($C21="","",VLOOKUP($C21,'분양가테이블(부가세기입X)'!A:T,12,FALSE))</f>
        <v>#N/A</v>
      </c>
      <c r="X21" s="351"/>
      <c r="Y21" s="351"/>
      <c r="Z21" s="351"/>
      <c r="AA21" s="351"/>
      <c r="AB21" s="351"/>
      <c r="AC21" s="351"/>
      <c r="AD21" s="351"/>
      <c r="AE21" s="351"/>
      <c r="AF21" s="351"/>
      <c r="AG21" s="351"/>
      <c r="AH21" s="351"/>
      <c r="AI21" s="345">
        <f>AE21*10%</f>
        <v>0</v>
      </c>
      <c r="AJ21" s="345"/>
      <c r="AK21" s="345"/>
      <c r="AL21" s="345"/>
      <c r="AM21" s="351"/>
      <c r="AN21" s="351"/>
      <c r="AO21" s="351"/>
      <c r="AP21" s="351"/>
      <c r="AQ21" s="345">
        <f>AI21-AM21</f>
        <v>0</v>
      </c>
      <c r="AR21" s="345"/>
      <c r="AS21" s="345"/>
      <c r="AT21" s="345"/>
      <c r="AU21" s="351"/>
      <c r="AV21" s="351"/>
      <c r="AW21" s="351"/>
      <c r="AX21" s="351"/>
      <c r="AY21" s="2"/>
      <c r="AZ21" s="1"/>
      <c r="BA21" s="2"/>
      <c r="BB21" s="1"/>
    </row>
    <row r="22" spans="1:54" ht="46.5" customHeight="1">
      <c r="A22" s="1"/>
      <c r="B22" s="2"/>
      <c r="C22" s="354">
        <v>311</v>
      </c>
      <c r="D22" s="356"/>
      <c r="E22" s="354" t="e">
        <f>IF($C22="","",VLOOKUP($C22,'분양가테이블(부가세기입X)'!A:T,2,FALSE))</f>
        <v>#N/A</v>
      </c>
      <c r="F22" s="355"/>
      <c r="G22" s="355"/>
      <c r="H22" s="356"/>
      <c r="I22" s="354" t="e">
        <f>IF($C22="","",VLOOKUP($C22,'분양가테이블(부가세기입X)'!A:T,3,FALSE))</f>
        <v>#N/A</v>
      </c>
      <c r="J22" s="356"/>
      <c r="K22" s="350" t="e">
        <f>IF($C22="","",VLOOKUP($C22,'분양가테이블(부가세기입X)'!A:T,4,FALSE))</f>
        <v>#N/A</v>
      </c>
      <c r="L22" s="350"/>
      <c r="M22" s="350" t="e">
        <f>IF($C11="","",VLOOKUP($C11,'분양가테이블(부가세기입X)'!A:T,5,FALSE))</f>
        <v>#N/A</v>
      </c>
      <c r="N22" s="350"/>
      <c r="O22" s="350" t="e">
        <f>IF($C22="","",VLOOKUP($C22,'분양가테이블(부가세기입X)'!A:T,8,FALSE))</f>
        <v>#N/A</v>
      </c>
      <c r="P22" s="350"/>
      <c r="Q22" s="350" t="e">
        <f>IF($C22="","",VLOOKUP($C22,'분양가테이블(부가세기입X)'!A:T,9,FALSE))</f>
        <v>#N/A</v>
      </c>
      <c r="R22" s="350"/>
      <c r="S22" s="350" t="e">
        <f>IF($C22="","",VLOOKUP($C22,'분양가테이블(부가세기입X)'!A:T,6,FALSE))</f>
        <v>#N/A</v>
      </c>
      <c r="T22" s="350"/>
      <c r="U22" s="350" t="e">
        <f>IF($C22="","",VLOOKUP($C22,'분양가테이블(부가세기입X)'!A:T,7,FALSE))</f>
        <v>#N/A</v>
      </c>
      <c r="V22" s="350"/>
      <c r="W22" s="351" t="e">
        <f>IF($C22="","",VLOOKUP($C22,'분양가테이블(부가세기입X)'!A:T,12,FALSE))</f>
        <v>#N/A</v>
      </c>
      <c r="X22" s="351"/>
      <c r="Y22" s="351"/>
      <c r="Z22" s="351"/>
      <c r="AA22" s="351"/>
      <c r="AB22" s="351"/>
      <c r="AC22" s="351"/>
      <c r="AD22" s="351"/>
      <c r="AE22" s="351"/>
      <c r="AF22" s="351"/>
      <c r="AG22" s="351"/>
      <c r="AH22" s="351"/>
      <c r="AI22" s="345">
        <f>AE22*10%</f>
        <v>0</v>
      </c>
      <c r="AJ22" s="345"/>
      <c r="AK22" s="345"/>
      <c r="AL22" s="345"/>
      <c r="AM22" s="351"/>
      <c r="AN22" s="351"/>
      <c r="AO22" s="351"/>
      <c r="AP22" s="351"/>
      <c r="AQ22" s="345">
        <f>AI22-AM22</f>
        <v>0</v>
      </c>
      <c r="AR22" s="345"/>
      <c r="AS22" s="345"/>
      <c r="AT22" s="345"/>
      <c r="AU22" s="351"/>
      <c r="AV22" s="351"/>
      <c r="AW22" s="351"/>
      <c r="AX22" s="351"/>
      <c r="AY22" s="2"/>
      <c r="AZ22" s="1"/>
      <c r="BA22" s="2"/>
      <c r="BB22" s="1"/>
    </row>
    <row r="23" spans="1:54" ht="46.5" customHeight="1">
      <c r="A23" s="1"/>
      <c r="B23" s="2"/>
      <c r="C23" s="354">
        <v>311</v>
      </c>
      <c r="D23" s="356"/>
      <c r="E23" s="354" t="e">
        <f>IF($C23="","",VLOOKUP($C23,'분양가테이블(부가세기입X)'!A:T,2,FALSE))</f>
        <v>#N/A</v>
      </c>
      <c r="F23" s="355"/>
      <c r="G23" s="355"/>
      <c r="H23" s="356"/>
      <c r="I23" s="354" t="e">
        <f>IF($C23="","",VLOOKUP($C23,'분양가테이블(부가세기입X)'!A:T,3,FALSE))</f>
        <v>#N/A</v>
      </c>
      <c r="J23" s="356"/>
      <c r="K23" s="350" t="e">
        <f>IF($C23="","",VLOOKUP($C23,'분양가테이블(부가세기입X)'!A:T,4,FALSE))</f>
        <v>#N/A</v>
      </c>
      <c r="L23" s="350"/>
      <c r="M23" s="350" t="e">
        <f>IF($C12="","",VLOOKUP($C12,'분양가테이블(부가세기입X)'!A:T,5,FALSE))</f>
        <v>#N/A</v>
      </c>
      <c r="N23" s="350"/>
      <c r="O23" s="350" t="e">
        <f>IF($C23="","",VLOOKUP($C23,'분양가테이블(부가세기입X)'!A:T,8,FALSE))</f>
        <v>#N/A</v>
      </c>
      <c r="P23" s="350"/>
      <c r="Q23" s="350" t="e">
        <f>IF($C23="","",VLOOKUP($C23,'분양가테이블(부가세기입X)'!A:T,9,FALSE))</f>
        <v>#N/A</v>
      </c>
      <c r="R23" s="350"/>
      <c r="S23" s="350" t="e">
        <f>IF($C23="","",VLOOKUP($C23,'분양가테이블(부가세기입X)'!A:T,6,FALSE))</f>
        <v>#N/A</v>
      </c>
      <c r="T23" s="350"/>
      <c r="U23" s="350" t="e">
        <f>IF($C23="","",VLOOKUP($C23,'분양가테이블(부가세기입X)'!A:T,7,FALSE))</f>
        <v>#N/A</v>
      </c>
      <c r="V23" s="350"/>
      <c r="W23" s="351" t="e">
        <f>IF($C23="","",VLOOKUP($C23,'분양가테이블(부가세기입X)'!A:T,12,FALSE))</f>
        <v>#N/A</v>
      </c>
      <c r="X23" s="351"/>
      <c r="Y23" s="351"/>
      <c r="Z23" s="351"/>
      <c r="AA23" s="351"/>
      <c r="AB23" s="351"/>
      <c r="AC23" s="351"/>
      <c r="AD23" s="351"/>
      <c r="AE23" s="351"/>
      <c r="AF23" s="351"/>
      <c r="AG23" s="351"/>
      <c r="AH23" s="351"/>
      <c r="AI23" s="345">
        <f>AE23*10%</f>
        <v>0</v>
      </c>
      <c r="AJ23" s="345"/>
      <c r="AK23" s="345"/>
      <c r="AL23" s="345"/>
      <c r="AM23" s="351"/>
      <c r="AN23" s="351"/>
      <c r="AO23" s="351"/>
      <c r="AP23" s="351"/>
      <c r="AQ23" s="345">
        <f>AI23-AM23</f>
        <v>0</v>
      </c>
      <c r="AR23" s="345"/>
      <c r="AS23" s="345"/>
      <c r="AT23" s="345"/>
      <c r="AU23" s="351"/>
      <c r="AV23" s="351"/>
      <c r="AW23" s="351"/>
      <c r="AX23" s="351"/>
      <c r="AY23" s="2"/>
      <c r="AZ23" s="1"/>
      <c r="BA23" s="2"/>
      <c r="BB23" s="1"/>
    </row>
    <row r="24" spans="1:54" ht="46.5" customHeight="1">
      <c r="A24" s="1"/>
      <c r="B24" s="2"/>
      <c r="C24" s="354">
        <v>311</v>
      </c>
      <c r="D24" s="356"/>
      <c r="E24" s="354" t="e">
        <f>IF($C24="","",VLOOKUP($C24,'분양가테이블(부가세기입X)'!A:T,2,FALSE))</f>
        <v>#N/A</v>
      </c>
      <c r="F24" s="355"/>
      <c r="G24" s="355"/>
      <c r="H24" s="356"/>
      <c r="I24" s="354" t="e">
        <f>IF($C24="","",VLOOKUP($C24,'분양가테이블(부가세기입X)'!A:T,3,FALSE))</f>
        <v>#N/A</v>
      </c>
      <c r="J24" s="356"/>
      <c r="K24" s="350" t="e">
        <f>IF($C24="","",VLOOKUP($C24,'분양가테이블(부가세기입X)'!A:T,4,FALSE))</f>
        <v>#N/A</v>
      </c>
      <c r="L24" s="350"/>
      <c r="M24" s="350" t="e">
        <f>IF($C13="","",VLOOKUP($C13,'분양가테이블(부가세기입X)'!A:T,5,FALSE))</f>
        <v>#N/A</v>
      </c>
      <c r="N24" s="350"/>
      <c r="O24" s="350" t="e">
        <f>IF($C24="","",VLOOKUP($C24,'분양가테이블(부가세기입X)'!A:T,8,FALSE))</f>
        <v>#N/A</v>
      </c>
      <c r="P24" s="350"/>
      <c r="Q24" s="350" t="e">
        <f>IF($C24="","",VLOOKUP($C24,'분양가테이블(부가세기입X)'!A:T,9,FALSE))</f>
        <v>#N/A</v>
      </c>
      <c r="R24" s="350"/>
      <c r="S24" s="350" t="e">
        <f>IF($C24="","",VLOOKUP($C24,'분양가테이블(부가세기입X)'!A:T,6,FALSE))</f>
        <v>#N/A</v>
      </c>
      <c r="T24" s="350"/>
      <c r="U24" s="350" t="e">
        <f>IF($C24="","",VLOOKUP($C24,'분양가테이블(부가세기입X)'!A:T,7,FALSE))</f>
        <v>#N/A</v>
      </c>
      <c r="V24" s="350"/>
      <c r="W24" s="351" t="e">
        <f>IF($C24="","",VLOOKUP($C24,'분양가테이블(부가세기입X)'!A:T,12,FALSE))</f>
        <v>#N/A</v>
      </c>
      <c r="X24" s="351"/>
      <c r="Y24" s="351"/>
      <c r="Z24" s="351"/>
      <c r="AA24" s="351"/>
      <c r="AB24" s="351"/>
      <c r="AC24" s="351"/>
      <c r="AD24" s="351"/>
      <c r="AE24" s="351"/>
      <c r="AF24" s="351"/>
      <c r="AG24" s="351"/>
      <c r="AH24" s="351"/>
      <c r="AI24" s="345">
        <f>AE24*10%</f>
        <v>0</v>
      </c>
      <c r="AJ24" s="345"/>
      <c r="AK24" s="345"/>
      <c r="AL24" s="345"/>
      <c r="AM24" s="351"/>
      <c r="AN24" s="351"/>
      <c r="AO24" s="351"/>
      <c r="AP24" s="351"/>
      <c r="AQ24" s="345">
        <f>AI24-AM24</f>
        <v>0</v>
      </c>
      <c r="AR24" s="345"/>
      <c r="AS24" s="345"/>
      <c r="AT24" s="345"/>
      <c r="AU24" s="351"/>
      <c r="AV24" s="351"/>
      <c r="AW24" s="351"/>
      <c r="AX24" s="351"/>
      <c r="AY24" s="2"/>
      <c r="AZ24" s="1"/>
      <c r="BA24" s="2"/>
      <c r="BB24" s="1"/>
    </row>
    <row r="25" spans="1:54" ht="46.5" customHeight="1" thickBot="1">
      <c r="A25" s="1"/>
      <c r="B25" s="2"/>
      <c r="C25" s="352">
        <v>311</v>
      </c>
      <c r="D25" s="353"/>
      <c r="E25" s="354" t="e">
        <f>IF($C25="","",VLOOKUP($C25,'분양가테이블(부가세기입X)'!A:T,2,FALSE))</f>
        <v>#N/A</v>
      </c>
      <c r="F25" s="355"/>
      <c r="G25" s="355"/>
      <c r="H25" s="356"/>
      <c r="I25" s="354" t="e">
        <f>IF($C25="","",VLOOKUP($C25,'분양가테이블(부가세기입X)'!A:T,3,FALSE))</f>
        <v>#N/A</v>
      </c>
      <c r="J25" s="356"/>
      <c r="K25" s="350" t="e">
        <f>IF($C25="","",VLOOKUP($C25,'분양가테이블(부가세기입X)'!A:T,4,FALSE))</f>
        <v>#N/A</v>
      </c>
      <c r="L25" s="350"/>
      <c r="M25" s="350" t="e">
        <f>IF($C14="","",VLOOKUP($C14,'분양가테이블(부가세기입X)'!A:T,5,FALSE))</f>
        <v>#N/A</v>
      </c>
      <c r="N25" s="350"/>
      <c r="O25" s="350" t="e">
        <f>IF($C25="","",VLOOKUP($C25,'분양가테이블(부가세기입X)'!A:T,8,FALSE))</f>
        <v>#N/A</v>
      </c>
      <c r="P25" s="350"/>
      <c r="Q25" s="350" t="e">
        <f>IF($C25="","",VLOOKUP($C25,'분양가테이블(부가세기입X)'!A:T,9,FALSE))</f>
        <v>#N/A</v>
      </c>
      <c r="R25" s="350"/>
      <c r="S25" s="350" t="e">
        <f>IF($C25="","",VLOOKUP($C25,'분양가테이블(부가세기입X)'!A:T,6,FALSE))</f>
        <v>#N/A</v>
      </c>
      <c r="T25" s="350"/>
      <c r="U25" s="350" t="e">
        <f>IF($C25="","",VLOOKUP($C25,'분양가테이블(부가세기입X)'!A:T,7,FALSE))</f>
        <v>#N/A</v>
      </c>
      <c r="V25" s="350"/>
      <c r="W25" s="351" t="e">
        <f>IF($C25="","",VLOOKUP($C25,'분양가테이블(부가세기입X)'!A:T,12,FALSE))</f>
        <v>#N/A</v>
      </c>
      <c r="X25" s="351"/>
      <c r="Y25" s="351"/>
      <c r="Z25" s="351"/>
      <c r="AA25" s="346"/>
      <c r="AB25" s="346"/>
      <c r="AC25" s="346"/>
      <c r="AD25" s="346"/>
      <c r="AE25" s="346"/>
      <c r="AF25" s="346"/>
      <c r="AG25" s="346"/>
      <c r="AH25" s="346"/>
      <c r="AI25" s="345">
        <f>AE25*10%</f>
        <v>0</v>
      </c>
      <c r="AJ25" s="345"/>
      <c r="AK25" s="345"/>
      <c r="AL25" s="345"/>
      <c r="AM25" s="346"/>
      <c r="AN25" s="346"/>
      <c r="AO25" s="346"/>
      <c r="AP25" s="346"/>
      <c r="AQ25" s="345">
        <f>AI25-AM25</f>
        <v>0</v>
      </c>
      <c r="AR25" s="345"/>
      <c r="AS25" s="345"/>
      <c r="AT25" s="345"/>
      <c r="AU25" s="346"/>
      <c r="AV25" s="346"/>
      <c r="AW25" s="346"/>
      <c r="AX25" s="346"/>
      <c r="AY25" s="2"/>
      <c r="AZ25" s="1"/>
      <c r="BA25" s="2"/>
      <c r="BB25" s="1"/>
    </row>
    <row r="26" spans="1:54" ht="46.5" customHeight="1" thickBot="1">
      <c r="A26" s="1"/>
      <c r="B26" s="2"/>
      <c r="C26" s="347"/>
      <c r="D26" s="348"/>
      <c r="E26" s="348"/>
      <c r="F26" s="348"/>
      <c r="G26" s="348"/>
      <c r="H26" s="348"/>
      <c r="I26" s="348"/>
      <c r="J26" s="349"/>
      <c r="K26" s="344" t="e">
        <f>SUM(K21:L25)</f>
        <v>#N/A</v>
      </c>
      <c r="L26" s="344"/>
      <c r="M26" s="344" t="e">
        <f>SUM(M21:N25)</f>
        <v>#N/A</v>
      </c>
      <c r="N26" s="344"/>
      <c r="O26" s="344" t="e">
        <f>SUM(O21:P25)</f>
        <v>#N/A</v>
      </c>
      <c r="P26" s="344"/>
      <c r="Q26" s="344" t="e">
        <f>SUM(Q21:R25)</f>
        <v>#N/A</v>
      </c>
      <c r="R26" s="344"/>
      <c r="S26" s="344" t="e">
        <f>SUM(S21:T25)</f>
        <v>#N/A</v>
      </c>
      <c r="T26" s="344"/>
      <c r="U26" s="344" t="e">
        <f>SUM(U21:V25)</f>
        <v>#N/A</v>
      </c>
      <c r="V26" s="344"/>
      <c r="W26" s="340" t="e">
        <f>SUM(W21:Z25)</f>
        <v>#N/A</v>
      </c>
      <c r="X26" s="340"/>
      <c r="Y26" s="340"/>
      <c r="Z26" s="340"/>
      <c r="AA26" s="340">
        <f>SUM(AA21:AD25)</f>
        <v>0</v>
      </c>
      <c r="AB26" s="340"/>
      <c r="AC26" s="340"/>
      <c r="AD26" s="340"/>
      <c r="AE26" s="340">
        <f>SUM(AE21:AH25)</f>
        <v>0</v>
      </c>
      <c r="AF26" s="340"/>
      <c r="AG26" s="340"/>
      <c r="AH26" s="340"/>
      <c r="AI26" s="340">
        <f>SUM(AI21:AL25)</f>
        <v>0</v>
      </c>
      <c r="AJ26" s="340"/>
      <c r="AK26" s="340"/>
      <c r="AL26" s="340"/>
      <c r="AM26" s="340">
        <f>SUM(AM21:AP25)</f>
        <v>0</v>
      </c>
      <c r="AN26" s="340"/>
      <c r="AO26" s="340"/>
      <c r="AP26" s="340"/>
      <c r="AQ26" s="340">
        <f>SUM(AQ21:AT25)</f>
        <v>0</v>
      </c>
      <c r="AR26" s="340"/>
      <c r="AS26" s="340"/>
      <c r="AT26" s="340"/>
      <c r="AU26" s="341" t="s">
        <v>59</v>
      </c>
      <c r="AV26" s="341"/>
      <c r="AW26" s="341"/>
      <c r="AX26" s="342"/>
      <c r="AY26" s="2"/>
      <c r="AZ26" s="1"/>
      <c r="BA26" s="2"/>
      <c r="BB26" s="1"/>
    </row>
    <row r="27" spans="1:54" ht="46.5" customHeight="1">
      <c r="A27" s="1"/>
      <c r="B27" s="2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2"/>
      <c r="AZ27" s="1"/>
      <c r="BA27" s="2"/>
      <c r="BB27" s="1"/>
    </row>
    <row r="28" spans="1:54" ht="46.5" customHeight="1">
      <c r="A28" s="1"/>
      <c r="B28" s="2"/>
      <c r="C28" s="4" t="s">
        <v>56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43" t="s">
        <v>51</v>
      </c>
      <c r="W28" s="236"/>
      <c r="X28" s="236"/>
      <c r="Y28" s="236"/>
      <c r="Z28" s="3"/>
      <c r="AA28" s="3"/>
      <c r="AB28" s="4" t="s">
        <v>55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43" t="s">
        <v>51</v>
      </c>
      <c r="AV28" s="236"/>
      <c r="AW28" s="236"/>
      <c r="AX28" s="236"/>
      <c r="AY28" s="2"/>
      <c r="AZ28" s="1"/>
      <c r="BA28" s="2"/>
      <c r="BB28" s="1"/>
    </row>
    <row r="29" spans="1:54" ht="46.5" customHeight="1">
      <c r="A29" s="1"/>
      <c r="B29" s="2"/>
      <c r="C29" s="324" t="s">
        <v>3</v>
      </c>
      <c r="D29" s="324"/>
      <c r="E29" s="324"/>
      <c r="F29" s="324"/>
      <c r="G29" s="324" t="s">
        <v>23</v>
      </c>
      <c r="H29" s="324"/>
      <c r="I29" s="324" t="s">
        <v>24</v>
      </c>
      <c r="J29" s="324"/>
      <c r="K29" s="324"/>
      <c r="L29" s="324"/>
      <c r="M29" s="324" t="s">
        <v>8</v>
      </c>
      <c r="N29" s="324"/>
      <c r="O29" s="324"/>
      <c r="P29" s="324"/>
      <c r="Q29" s="324" t="s">
        <v>1</v>
      </c>
      <c r="R29" s="324"/>
      <c r="S29" s="324"/>
      <c r="T29" s="324"/>
      <c r="U29" s="324" t="s">
        <v>16</v>
      </c>
      <c r="V29" s="324"/>
      <c r="W29" s="324"/>
      <c r="X29" s="324"/>
      <c r="Y29" s="324"/>
      <c r="Z29" s="3"/>
      <c r="AA29" s="3"/>
      <c r="AB29" s="329" t="s">
        <v>3</v>
      </c>
      <c r="AC29" s="330"/>
      <c r="AD29" s="330"/>
      <c r="AE29" s="331"/>
      <c r="AF29" s="329" t="s">
        <v>23</v>
      </c>
      <c r="AG29" s="331"/>
      <c r="AH29" s="329" t="s">
        <v>24</v>
      </c>
      <c r="AI29" s="330"/>
      <c r="AJ29" s="330"/>
      <c r="AK29" s="331"/>
      <c r="AL29" s="329" t="s">
        <v>25</v>
      </c>
      <c r="AM29" s="330"/>
      <c r="AN29" s="330"/>
      <c r="AO29" s="330"/>
      <c r="AP29" s="331"/>
      <c r="AQ29" s="329" t="s">
        <v>26</v>
      </c>
      <c r="AR29" s="330"/>
      <c r="AS29" s="330"/>
      <c r="AT29" s="331"/>
      <c r="AU29" s="329" t="s">
        <v>2</v>
      </c>
      <c r="AV29" s="330"/>
      <c r="AW29" s="330"/>
      <c r="AX29" s="331"/>
      <c r="AY29" s="2"/>
      <c r="AZ29" s="1"/>
      <c r="BA29" s="2"/>
      <c r="BB29" s="1"/>
    </row>
    <row r="30" spans="1:54" ht="46.5" customHeight="1">
      <c r="A30" s="1"/>
      <c r="B30" s="2"/>
      <c r="C30" s="324" t="s">
        <v>11</v>
      </c>
      <c r="D30" s="324"/>
      <c r="E30" s="324"/>
      <c r="F30" s="324"/>
      <c r="G30" s="337">
        <v>0.1</v>
      </c>
      <c r="H30" s="325"/>
      <c r="I30" s="325" t="s">
        <v>30</v>
      </c>
      <c r="J30" s="325"/>
      <c r="K30" s="325"/>
      <c r="L30" s="325"/>
      <c r="M30" s="338" t="e">
        <f>W15*10%</f>
        <v>#N/A</v>
      </c>
      <c r="N30" s="338"/>
      <c r="O30" s="338"/>
      <c r="P30" s="338"/>
      <c r="Q30" s="339">
        <f>AA15*10%</f>
        <v>0</v>
      </c>
      <c r="R30" s="339"/>
      <c r="S30" s="339"/>
      <c r="T30" s="339"/>
      <c r="U30" s="339">
        <f>AE15*10%</f>
        <v>0</v>
      </c>
      <c r="V30" s="339"/>
      <c r="W30" s="339"/>
      <c r="X30" s="339"/>
      <c r="Y30" s="339"/>
      <c r="Z30" s="3"/>
      <c r="AA30" s="3"/>
      <c r="AB30" s="329" t="s">
        <v>45</v>
      </c>
      <c r="AC30" s="330"/>
      <c r="AD30" s="330"/>
      <c r="AE30" s="331"/>
      <c r="AF30" s="332">
        <v>1</v>
      </c>
      <c r="AG30" s="333"/>
      <c r="AH30" s="334" t="s">
        <v>30</v>
      </c>
      <c r="AI30" s="335"/>
      <c r="AJ30" s="335"/>
      <c r="AK30" s="336"/>
      <c r="AL30" s="334"/>
      <c r="AM30" s="335"/>
      <c r="AN30" s="335"/>
      <c r="AO30" s="335"/>
      <c r="AP30" s="336"/>
      <c r="AQ30" s="334"/>
      <c r="AR30" s="335"/>
      <c r="AS30" s="335"/>
      <c r="AT30" s="336"/>
      <c r="AU30" s="334"/>
      <c r="AV30" s="335"/>
      <c r="AW30" s="335"/>
      <c r="AX30" s="336"/>
      <c r="AY30" s="2"/>
      <c r="AZ30" s="1"/>
      <c r="BA30" s="2"/>
      <c r="BB30" s="1"/>
    </row>
    <row r="31" spans="1:54" ht="46.5" customHeight="1">
      <c r="A31" s="1"/>
      <c r="B31" s="2"/>
      <c r="C31" s="324" t="s">
        <v>27</v>
      </c>
      <c r="D31" s="324"/>
      <c r="E31" s="324"/>
      <c r="F31" s="324"/>
      <c r="G31" s="337">
        <v>0.4</v>
      </c>
      <c r="H31" s="325"/>
      <c r="I31" s="325" t="s">
        <v>31</v>
      </c>
      <c r="J31" s="325"/>
      <c r="K31" s="325"/>
      <c r="L31" s="325"/>
      <c r="M31" s="338" t="e">
        <f>W15*40%</f>
        <v>#N/A</v>
      </c>
      <c r="N31" s="338"/>
      <c r="O31" s="338"/>
      <c r="P31" s="338"/>
      <c r="Q31" s="339">
        <f>AA15*40%</f>
        <v>0</v>
      </c>
      <c r="R31" s="339"/>
      <c r="S31" s="339"/>
      <c r="T31" s="339"/>
      <c r="U31" s="339">
        <f>AE15*40%</f>
        <v>0</v>
      </c>
      <c r="V31" s="339"/>
      <c r="W31" s="339"/>
      <c r="X31" s="339"/>
      <c r="Y31" s="339"/>
      <c r="Z31" s="3"/>
      <c r="AA31" s="3"/>
      <c r="AB31" s="329" t="s">
        <v>11</v>
      </c>
      <c r="AC31" s="330"/>
      <c r="AD31" s="330"/>
      <c r="AE31" s="331"/>
      <c r="AF31" s="332">
        <v>0.05</v>
      </c>
      <c r="AG31" s="333"/>
      <c r="AH31" s="334" t="s">
        <v>30</v>
      </c>
      <c r="AI31" s="335"/>
      <c r="AJ31" s="335"/>
      <c r="AK31" s="336"/>
      <c r="AL31" s="334"/>
      <c r="AM31" s="335"/>
      <c r="AN31" s="335"/>
      <c r="AO31" s="335"/>
      <c r="AP31" s="336"/>
      <c r="AQ31" s="334"/>
      <c r="AR31" s="335"/>
      <c r="AS31" s="335"/>
      <c r="AT31" s="336"/>
      <c r="AU31" s="334"/>
      <c r="AV31" s="335"/>
      <c r="AW31" s="335"/>
      <c r="AX31" s="336"/>
      <c r="AY31" s="2"/>
      <c r="AZ31" s="1"/>
      <c r="BA31" s="2"/>
      <c r="BB31" s="1"/>
    </row>
    <row r="32" spans="1:54" ht="46.5" customHeight="1">
      <c r="A32" s="1"/>
      <c r="B32" s="2"/>
      <c r="C32" s="324" t="s">
        <v>28</v>
      </c>
      <c r="D32" s="324"/>
      <c r="E32" s="324"/>
      <c r="F32" s="324"/>
      <c r="G32" s="337">
        <v>0.5</v>
      </c>
      <c r="H32" s="325"/>
      <c r="I32" s="325" t="s">
        <v>32</v>
      </c>
      <c r="J32" s="325"/>
      <c r="K32" s="325"/>
      <c r="L32" s="325"/>
      <c r="M32" s="338" t="e">
        <f>W15*50%</f>
        <v>#N/A</v>
      </c>
      <c r="N32" s="338"/>
      <c r="O32" s="338"/>
      <c r="P32" s="338"/>
      <c r="Q32" s="339">
        <f>AA15*50%</f>
        <v>0</v>
      </c>
      <c r="R32" s="339"/>
      <c r="S32" s="339"/>
      <c r="T32" s="339"/>
      <c r="U32" s="339">
        <f>AE15*50%</f>
        <v>0</v>
      </c>
      <c r="V32" s="339"/>
      <c r="W32" s="339"/>
      <c r="X32" s="339"/>
      <c r="Y32" s="339"/>
      <c r="Z32" s="3"/>
      <c r="AA32" s="3"/>
      <c r="AB32" s="329" t="s">
        <v>27</v>
      </c>
      <c r="AC32" s="330"/>
      <c r="AD32" s="330"/>
      <c r="AE32" s="331"/>
      <c r="AF32" s="332">
        <v>0.05</v>
      </c>
      <c r="AG32" s="333"/>
      <c r="AH32" s="334" t="s">
        <v>30</v>
      </c>
      <c r="AI32" s="335"/>
      <c r="AJ32" s="335"/>
      <c r="AK32" s="336"/>
      <c r="AL32" s="334"/>
      <c r="AM32" s="335"/>
      <c r="AN32" s="335"/>
      <c r="AO32" s="335"/>
      <c r="AP32" s="336"/>
      <c r="AQ32" s="334"/>
      <c r="AR32" s="335"/>
      <c r="AS32" s="335"/>
      <c r="AT32" s="336"/>
      <c r="AU32" s="334"/>
      <c r="AV32" s="335"/>
      <c r="AW32" s="335"/>
      <c r="AX32" s="336"/>
      <c r="AY32" s="2"/>
      <c r="AZ32" s="1"/>
      <c r="BA32" s="2"/>
      <c r="BB32" s="1"/>
    </row>
    <row r="33" spans="1:54" ht="46.5" customHeight="1">
      <c r="A33" s="1"/>
      <c r="B33" s="2"/>
      <c r="C33" s="324" t="s">
        <v>29</v>
      </c>
      <c r="D33" s="324"/>
      <c r="E33" s="324"/>
      <c r="F33" s="324"/>
      <c r="G33" s="337">
        <v>1</v>
      </c>
      <c r="H33" s="325"/>
      <c r="I33" s="325" t="s">
        <v>33</v>
      </c>
      <c r="J33" s="325"/>
      <c r="K33" s="325"/>
      <c r="L33" s="325"/>
      <c r="M33" s="338" t="e">
        <f>W15</f>
        <v>#N/A</v>
      </c>
      <c r="N33" s="338"/>
      <c r="O33" s="338"/>
      <c r="P33" s="338"/>
      <c r="Q33" s="339">
        <f>AA15</f>
        <v>0</v>
      </c>
      <c r="R33" s="339"/>
      <c r="S33" s="339"/>
      <c r="T33" s="339"/>
      <c r="U33" s="339">
        <f>AE15</f>
        <v>0</v>
      </c>
      <c r="V33" s="339"/>
      <c r="W33" s="339"/>
      <c r="X33" s="339"/>
      <c r="Y33" s="339"/>
      <c r="Z33" s="3"/>
      <c r="AA33" s="3"/>
      <c r="AB33" s="329" t="s">
        <v>28</v>
      </c>
      <c r="AC33" s="330"/>
      <c r="AD33" s="330"/>
      <c r="AE33" s="331"/>
      <c r="AF33" s="332">
        <v>0.9</v>
      </c>
      <c r="AG33" s="333"/>
      <c r="AH33" s="334" t="s">
        <v>30</v>
      </c>
      <c r="AI33" s="335"/>
      <c r="AJ33" s="335"/>
      <c r="AK33" s="336"/>
      <c r="AL33" s="334"/>
      <c r="AM33" s="335"/>
      <c r="AN33" s="335"/>
      <c r="AO33" s="335"/>
      <c r="AP33" s="336"/>
      <c r="AQ33" s="334"/>
      <c r="AR33" s="335"/>
      <c r="AS33" s="335"/>
      <c r="AT33" s="336"/>
      <c r="AU33" s="334"/>
      <c r="AV33" s="335"/>
      <c r="AW33" s="335"/>
      <c r="AX33" s="336"/>
      <c r="AY33" s="2"/>
      <c r="AZ33" s="1"/>
      <c r="BA33" s="2"/>
      <c r="BB33" s="1"/>
    </row>
    <row r="34" spans="1:54" ht="46.5" customHeight="1">
      <c r="A34" s="1"/>
      <c r="B34" s="2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2"/>
      <c r="AZ34" s="1"/>
      <c r="BA34" s="2"/>
      <c r="BB34" s="1"/>
    </row>
    <row r="35" spans="1:54" ht="46.5" customHeight="1">
      <c r="A35" s="1"/>
      <c r="B35" s="2"/>
      <c r="C35" s="4" t="s">
        <v>35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4" t="s">
        <v>34</v>
      </c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2"/>
      <c r="AZ35" s="1"/>
      <c r="BA35" s="2"/>
      <c r="BB35" s="1"/>
    </row>
    <row r="36" spans="1:54" ht="46.5" customHeight="1">
      <c r="A36" s="1"/>
      <c r="B36" s="2"/>
      <c r="C36" s="324" t="s">
        <v>36</v>
      </c>
      <c r="D36" s="324"/>
      <c r="E36" s="324"/>
      <c r="F36" s="324"/>
      <c r="G36" s="324" t="s">
        <v>37</v>
      </c>
      <c r="H36" s="324"/>
      <c r="I36" s="324"/>
      <c r="J36" s="324"/>
      <c r="K36" s="324"/>
      <c r="L36" s="324"/>
      <c r="M36" s="324"/>
      <c r="N36" s="324"/>
      <c r="O36" s="324"/>
      <c r="P36" s="324" t="s">
        <v>38</v>
      </c>
      <c r="Q36" s="324"/>
      <c r="R36" s="324"/>
      <c r="S36" s="324"/>
      <c r="T36" s="324"/>
      <c r="U36" s="3"/>
      <c r="V36" s="3"/>
      <c r="W36" s="324" t="s">
        <v>39</v>
      </c>
      <c r="X36" s="324"/>
      <c r="Y36" s="324"/>
      <c r="Z36" s="324"/>
      <c r="AA36" s="324"/>
      <c r="AB36" s="326" t="s">
        <v>53</v>
      </c>
      <c r="AC36" s="327"/>
      <c r="AD36" s="327"/>
      <c r="AE36" s="327"/>
      <c r="AF36" s="327"/>
      <c r="AG36" s="327"/>
      <c r="AH36" s="327"/>
      <c r="AI36" s="327"/>
      <c r="AJ36" s="327"/>
      <c r="AK36" s="327"/>
      <c r="AL36" s="327"/>
      <c r="AM36" s="327"/>
      <c r="AN36" s="327"/>
      <c r="AO36" s="327"/>
      <c r="AP36" s="327"/>
      <c r="AQ36" s="327"/>
      <c r="AR36" s="327"/>
      <c r="AS36" s="327"/>
      <c r="AT36" s="327"/>
      <c r="AU36" s="327"/>
      <c r="AV36" s="327"/>
      <c r="AW36" s="327"/>
      <c r="AX36" s="327"/>
      <c r="AY36" s="2"/>
      <c r="AZ36" s="1"/>
      <c r="BA36" s="2"/>
      <c r="BB36" s="1"/>
    </row>
    <row r="37" spans="1:54" ht="46.5" customHeight="1">
      <c r="A37" s="1"/>
      <c r="B37" s="2"/>
      <c r="C37" s="328" t="s">
        <v>47</v>
      </c>
      <c r="D37" s="328"/>
      <c r="E37" s="328"/>
      <c r="F37" s="328"/>
      <c r="G37" s="328" t="s">
        <v>44</v>
      </c>
      <c r="H37" s="328"/>
      <c r="I37" s="328"/>
      <c r="J37" s="328"/>
      <c r="K37" s="328"/>
      <c r="L37" s="328"/>
      <c r="M37" s="328"/>
      <c r="N37" s="328"/>
      <c r="O37" s="328"/>
      <c r="P37" s="328" t="s">
        <v>48</v>
      </c>
      <c r="Q37" s="328"/>
      <c r="R37" s="328"/>
      <c r="S37" s="328"/>
      <c r="T37" s="328"/>
      <c r="U37" s="3"/>
      <c r="V37" s="3"/>
      <c r="W37" s="324"/>
      <c r="X37" s="324"/>
      <c r="Y37" s="324"/>
      <c r="Z37" s="324"/>
      <c r="AA37" s="324"/>
      <c r="AB37" s="327"/>
      <c r="AC37" s="327"/>
      <c r="AD37" s="327"/>
      <c r="AE37" s="327"/>
      <c r="AF37" s="327"/>
      <c r="AG37" s="327"/>
      <c r="AH37" s="327"/>
      <c r="AI37" s="327"/>
      <c r="AJ37" s="327"/>
      <c r="AK37" s="327"/>
      <c r="AL37" s="327"/>
      <c r="AM37" s="327"/>
      <c r="AN37" s="327"/>
      <c r="AO37" s="327"/>
      <c r="AP37" s="327"/>
      <c r="AQ37" s="327"/>
      <c r="AR37" s="327"/>
      <c r="AS37" s="327"/>
      <c r="AT37" s="327"/>
      <c r="AU37" s="327"/>
      <c r="AV37" s="327"/>
      <c r="AW37" s="327"/>
      <c r="AX37" s="327"/>
      <c r="AY37" s="2"/>
      <c r="AZ37" s="1"/>
      <c r="BA37" s="2"/>
      <c r="BB37" s="1"/>
    </row>
    <row r="38" spans="1:54" ht="46.5" customHeight="1">
      <c r="A38" s="1"/>
      <c r="B38" s="2"/>
      <c r="C38" s="328"/>
      <c r="D38" s="328"/>
      <c r="E38" s="328"/>
      <c r="F38" s="328"/>
      <c r="G38" s="328"/>
      <c r="H38" s="328"/>
      <c r="I38" s="328"/>
      <c r="J38" s="328"/>
      <c r="K38" s="328"/>
      <c r="L38" s="328"/>
      <c r="M38" s="328"/>
      <c r="N38" s="328"/>
      <c r="O38" s="328"/>
      <c r="P38" s="328"/>
      <c r="Q38" s="328"/>
      <c r="R38" s="328"/>
      <c r="S38" s="328"/>
      <c r="T38" s="328"/>
      <c r="U38" s="3"/>
      <c r="V38" s="3"/>
      <c r="W38" s="324" t="s">
        <v>41</v>
      </c>
      <c r="X38" s="324"/>
      <c r="Y38" s="324"/>
      <c r="Z38" s="324"/>
      <c r="AA38" s="324"/>
      <c r="AB38" s="326" t="s">
        <v>52</v>
      </c>
      <c r="AC38" s="327"/>
      <c r="AD38" s="327"/>
      <c r="AE38" s="327"/>
      <c r="AF38" s="327"/>
      <c r="AG38" s="327"/>
      <c r="AH38" s="327"/>
      <c r="AI38" s="327"/>
      <c r="AJ38" s="327"/>
      <c r="AK38" s="327"/>
      <c r="AL38" s="327"/>
      <c r="AM38" s="327"/>
      <c r="AN38" s="327"/>
      <c r="AO38" s="327"/>
      <c r="AP38" s="327"/>
      <c r="AQ38" s="327"/>
      <c r="AR38" s="327"/>
      <c r="AS38" s="327"/>
      <c r="AT38" s="327"/>
      <c r="AU38" s="327"/>
      <c r="AV38" s="327"/>
      <c r="AW38" s="327"/>
      <c r="AX38" s="327"/>
      <c r="AY38" s="2"/>
      <c r="AZ38" s="1"/>
      <c r="BA38" s="2"/>
      <c r="BB38" s="1"/>
    </row>
    <row r="39" spans="1:54" ht="46.5" customHeight="1">
      <c r="A39" s="1"/>
      <c r="B39" s="2"/>
      <c r="C39" s="324" t="s">
        <v>42</v>
      </c>
      <c r="D39" s="324"/>
      <c r="E39" s="324"/>
      <c r="F39" s="324"/>
      <c r="G39" s="324"/>
      <c r="H39" s="324"/>
      <c r="I39" s="324"/>
      <c r="J39" s="324"/>
      <c r="K39" s="324"/>
      <c r="L39" s="324"/>
      <c r="M39" s="324"/>
      <c r="N39" s="324"/>
      <c r="O39" s="324"/>
      <c r="P39" s="324"/>
      <c r="Q39" s="324"/>
      <c r="R39" s="324"/>
      <c r="S39" s="324"/>
      <c r="T39" s="324"/>
      <c r="U39" s="3"/>
      <c r="V39" s="3"/>
      <c r="W39" s="324"/>
      <c r="X39" s="324"/>
      <c r="Y39" s="324"/>
      <c r="Z39" s="324"/>
      <c r="AA39" s="324"/>
      <c r="AB39" s="327"/>
      <c r="AC39" s="327"/>
      <c r="AD39" s="327"/>
      <c r="AE39" s="327"/>
      <c r="AF39" s="327"/>
      <c r="AG39" s="327"/>
      <c r="AH39" s="327"/>
      <c r="AI39" s="327"/>
      <c r="AJ39" s="327"/>
      <c r="AK39" s="327"/>
      <c r="AL39" s="327"/>
      <c r="AM39" s="327"/>
      <c r="AN39" s="327"/>
      <c r="AO39" s="327"/>
      <c r="AP39" s="327"/>
      <c r="AQ39" s="327"/>
      <c r="AR39" s="327"/>
      <c r="AS39" s="327"/>
      <c r="AT39" s="327"/>
      <c r="AU39" s="327"/>
      <c r="AV39" s="327"/>
      <c r="AW39" s="327"/>
      <c r="AX39" s="327"/>
      <c r="AY39" s="2"/>
      <c r="AZ39" s="1"/>
      <c r="BA39" s="2"/>
      <c r="BB39" s="1"/>
    </row>
    <row r="40" spans="1:54" ht="46.5" customHeight="1">
      <c r="A40" s="1"/>
      <c r="B40" s="2"/>
      <c r="C40" s="325" t="s">
        <v>43</v>
      </c>
      <c r="D40" s="325"/>
      <c r="E40" s="325"/>
      <c r="F40" s="325"/>
      <c r="G40" s="325"/>
      <c r="H40" s="325"/>
      <c r="I40" s="325"/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"/>
      <c r="V40" s="3"/>
      <c r="W40" s="324" t="s">
        <v>40</v>
      </c>
      <c r="X40" s="324"/>
      <c r="Y40" s="324"/>
      <c r="Z40" s="324"/>
      <c r="AA40" s="324"/>
      <c r="AB40" s="326" t="s">
        <v>54</v>
      </c>
      <c r="AC40" s="327"/>
      <c r="AD40" s="327"/>
      <c r="AE40" s="327"/>
      <c r="AF40" s="327"/>
      <c r="AG40" s="327"/>
      <c r="AH40" s="327"/>
      <c r="AI40" s="327"/>
      <c r="AJ40" s="327"/>
      <c r="AK40" s="327"/>
      <c r="AL40" s="327"/>
      <c r="AM40" s="327"/>
      <c r="AN40" s="327"/>
      <c r="AO40" s="327"/>
      <c r="AP40" s="327"/>
      <c r="AQ40" s="327"/>
      <c r="AR40" s="327"/>
      <c r="AS40" s="327"/>
      <c r="AT40" s="327"/>
      <c r="AU40" s="327"/>
      <c r="AV40" s="327"/>
      <c r="AW40" s="327"/>
      <c r="AX40" s="327"/>
      <c r="AY40" s="2"/>
      <c r="AZ40" s="1"/>
      <c r="BA40" s="2"/>
      <c r="BB40" s="1"/>
    </row>
    <row r="41" spans="1:54" ht="46.5" customHeight="1">
      <c r="A41" s="1"/>
      <c r="B41" s="2"/>
      <c r="C41" s="325"/>
      <c r="D41" s="325"/>
      <c r="E41" s="325"/>
      <c r="F41" s="325"/>
      <c r="G41" s="325"/>
      <c r="H41" s="325"/>
      <c r="I41" s="325"/>
      <c r="J41" s="325"/>
      <c r="K41" s="325"/>
      <c r="L41" s="325"/>
      <c r="M41" s="325"/>
      <c r="N41" s="325"/>
      <c r="O41" s="325"/>
      <c r="P41" s="325"/>
      <c r="Q41" s="325"/>
      <c r="R41" s="325"/>
      <c r="S41" s="325"/>
      <c r="T41" s="325"/>
      <c r="U41" s="3"/>
      <c r="V41" s="3"/>
      <c r="W41" s="324"/>
      <c r="X41" s="324"/>
      <c r="Y41" s="324"/>
      <c r="Z41" s="324"/>
      <c r="AA41" s="324"/>
      <c r="AB41" s="327"/>
      <c r="AC41" s="327"/>
      <c r="AD41" s="327"/>
      <c r="AE41" s="327"/>
      <c r="AF41" s="327"/>
      <c r="AG41" s="327"/>
      <c r="AH41" s="327"/>
      <c r="AI41" s="327"/>
      <c r="AJ41" s="327"/>
      <c r="AK41" s="327"/>
      <c r="AL41" s="327"/>
      <c r="AM41" s="327"/>
      <c r="AN41" s="327"/>
      <c r="AO41" s="327"/>
      <c r="AP41" s="327"/>
      <c r="AQ41" s="327"/>
      <c r="AR41" s="327"/>
      <c r="AS41" s="327"/>
      <c r="AT41" s="327"/>
      <c r="AU41" s="327"/>
      <c r="AV41" s="327"/>
      <c r="AW41" s="327"/>
      <c r="AX41" s="327"/>
      <c r="AY41" s="2"/>
      <c r="AZ41" s="1"/>
      <c r="BA41" s="2"/>
      <c r="BB41" s="1"/>
    </row>
    <row r="42" spans="1:54" ht="46.5" customHeight="1">
      <c r="A42" s="1"/>
      <c r="B42" s="2"/>
      <c r="C42" s="5" t="s">
        <v>46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5" t="s">
        <v>49</v>
      </c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2"/>
      <c r="AZ42" s="1"/>
      <c r="BA42" s="2"/>
      <c r="BB42" s="1"/>
    </row>
    <row r="43" spans="1:54" ht="46.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1"/>
      <c r="BA43" s="2"/>
      <c r="BB43" s="1"/>
    </row>
    <row r="44" spans="1:54" ht="46.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1"/>
      <c r="BA44" s="2"/>
      <c r="BB44" s="1"/>
    </row>
    <row r="45" spans="1:54" ht="4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1:54" ht="46.5" customHeight="1">
      <c r="A46" s="6"/>
    </row>
    <row r="47" spans="1:54" ht="46.5" customHeight="1">
      <c r="A47" s="6"/>
    </row>
    <row r="48" spans="1:54" ht="46.5" customHeight="1">
      <c r="A48" s="6"/>
    </row>
    <row r="49" ht="46.5" customHeight="1"/>
  </sheetData>
  <mergeCells count="316">
    <mergeCell ref="AV5:AX5"/>
    <mergeCell ref="AQ6:AT6"/>
    <mergeCell ref="AU6:AX6"/>
    <mergeCell ref="C7:D9"/>
    <mergeCell ref="E7:J9"/>
    <mergeCell ref="K7:V7"/>
    <mergeCell ref="W7:Z9"/>
    <mergeCell ref="AA7:AD9"/>
    <mergeCell ref="AE7:AH9"/>
    <mergeCell ref="AI7:AL7"/>
    <mergeCell ref="AM7:AT7"/>
    <mergeCell ref="AU7:AX9"/>
    <mergeCell ref="K8:N8"/>
    <mergeCell ref="O8:R8"/>
    <mergeCell ref="S8:V8"/>
    <mergeCell ref="AI8:AL8"/>
    <mergeCell ref="AM8:AP8"/>
    <mergeCell ref="AQ8:AT8"/>
    <mergeCell ref="K9:L9"/>
    <mergeCell ref="M9:N9"/>
    <mergeCell ref="AQ9:AT9"/>
    <mergeCell ref="O9:P9"/>
    <mergeCell ref="Q9:R9"/>
    <mergeCell ref="S9:T9"/>
    <mergeCell ref="C10:D10"/>
    <mergeCell ref="E10:H10"/>
    <mergeCell ref="I10:J10"/>
    <mergeCell ref="K10:L10"/>
    <mergeCell ref="M10:N10"/>
    <mergeCell ref="O10:P10"/>
    <mergeCell ref="Q10:R10"/>
    <mergeCell ref="S10:T10"/>
    <mergeCell ref="U10:V10"/>
    <mergeCell ref="U9:V9"/>
    <mergeCell ref="AI9:AL9"/>
    <mergeCell ref="AM9:AP9"/>
    <mergeCell ref="AU10:AX10"/>
    <mergeCell ref="C11:D11"/>
    <mergeCell ref="E11:H11"/>
    <mergeCell ref="I11:J11"/>
    <mergeCell ref="K11:L11"/>
    <mergeCell ref="M11:N11"/>
    <mergeCell ref="O11:P11"/>
    <mergeCell ref="Q11:R11"/>
    <mergeCell ref="S11:T11"/>
    <mergeCell ref="U11:V11"/>
    <mergeCell ref="W10:Z10"/>
    <mergeCell ref="AA10:AD10"/>
    <mergeCell ref="AE10:AH10"/>
    <mergeCell ref="AI10:AL10"/>
    <mergeCell ref="AM10:AP10"/>
    <mergeCell ref="AQ10:AT10"/>
    <mergeCell ref="AU11:AX11"/>
    <mergeCell ref="W11:Z11"/>
    <mergeCell ref="AA11:AD11"/>
    <mergeCell ref="AE11:AH11"/>
    <mergeCell ref="AI11:AL11"/>
    <mergeCell ref="AQ11:AT11"/>
    <mergeCell ref="AU12:AX12"/>
    <mergeCell ref="C13:D13"/>
    <mergeCell ref="E13:H13"/>
    <mergeCell ref="I13:J13"/>
    <mergeCell ref="K13:L13"/>
    <mergeCell ref="M13:N13"/>
    <mergeCell ref="O13:P13"/>
    <mergeCell ref="Q13:R13"/>
    <mergeCell ref="S13:T13"/>
    <mergeCell ref="U13:V13"/>
    <mergeCell ref="W12:Z12"/>
    <mergeCell ref="AA12:AD12"/>
    <mergeCell ref="AE12:AH12"/>
    <mergeCell ref="AI12:AL12"/>
    <mergeCell ref="AM12:AP12"/>
    <mergeCell ref="AQ12:AT12"/>
    <mergeCell ref="AU13:AX13"/>
    <mergeCell ref="W13:Z13"/>
    <mergeCell ref="AA13:AD13"/>
    <mergeCell ref="AE13:AH13"/>
    <mergeCell ref="AI13:AL13"/>
    <mergeCell ref="AM13:AP13"/>
    <mergeCell ref="C12:D12"/>
    <mergeCell ref="E14:H14"/>
    <mergeCell ref="I14:J14"/>
    <mergeCell ref="K14:L14"/>
    <mergeCell ref="M14:N14"/>
    <mergeCell ref="O14:P14"/>
    <mergeCell ref="Q14:R14"/>
    <mergeCell ref="S14:T14"/>
    <mergeCell ref="U14:V14"/>
    <mergeCell ref="AM11:AP11"/>
    <mergeCell ref="E12:H12"/>
    <mergeCell ref="I12:J12"/>
    <mergeCell ref="K12:L12"/>
    <mergeCell ref="M12:N12"/>
    <mergeCell ref="O12:P12"/>
    <mergeCell ref="Q12:R12"/>
    <mergeCell ref="S12:T12"/>
    <mergeCell ref="U12:V12"/>
    <mergeCell ref="AQ13:AT13"/>
    <mergeCell ref="AE15:AH15"/>
    <mergeCell ref="AI15:AL15"/>
    <mergeCell ref="AM15:AP15"/>
    <mergeCell ref="AQ15:AT15"/>
    <mergeCell ref="AU15:AX15"/>
    <mergeCell ref="AU17:AX17"/>
    <mergeCell ref="AU14:AX14"/>
    <mergeCell ref="C15:J15"/>
    <mergeCell ref="K15:L15"/>
    <mergeCell ref="M15:N15"/>
    <mergeCell ref="O15:P15"/>
    <mergeCell ref="Q15:R15"/>
    <mergeCell ref="S15:T15"/>
    <mergeCell ref="U15:V15"/>
    <mergeCell ref="W15:Z15"/>
    <mergeCell ref="AA15:AD15"/>
    <mergeCell ref="W14:Z14"/>
    <mergeCell ref="AA14:AD14"/>
    <mergeCell ref="AE14:AH14"/>
    <mergeCell ref="AI14:AL14"/>
    <mergeCell ref="AM14:AP14"/>
    <mergeCell ref="AQ14:AT14"/>
    <mergeCell ref="C14:D14"/>
    <mergeCell ref="AU18:AX20"/>
    <mergeCell ref="K19:N19"/>
    <mergeCell ref="O19:R19"/>
    <mergeCell ref="S19:V19"/>
    <mergeCell ref="AI19:AL19"/>
    <mergeCell ref="AM19:AP19"/>
    <mergeCell ref="AQ19:AT19"/>
    <mergeCell ref="K20:L20"/>
    <mergeCell ref="K18:V18"/>
    <mergeCell ref="W18:Z20"/>
    <mergeCell ref="AA18:AD20"/>
    <mergeCell ref="AE18:AH20"/>
    <mergeCell ref="M20:N20"/>
    <mergeCell ref="O20:P20"/>
    <mergeCell ref="Q20:R20"/>
    <mergeCell ref="S20:T20"/>
    <mergeCell ref="U20:V20"/>
    <mergeCell ref="AI20:AL20"/>
    <mergeCell ref="AM20:AP20"/>
    <mergeCell ref="AQ20:AT20"/>
    <mergeCell ref="M21:N21"/>
    <mergeCell ref="O21:P21"/>
    <mergeCell ref="C18:D20"/>
    <mergeCell ref="E18:J20"/>
    <mergeCell ref="AI21:AL21"/>
    <mergeCell ref="AI18:AL18"/>
    <mergeCell ref="AM18:AT18"/>
    <mergeCell ref="AM21:AP21"/>
    <mergeCell ref="AQ21:AT21"/>
    <mergeCell ref="AU21:AX21"/>
    <mergeCell ref="C22:D22"/>
    <mergeCell ref="E22:H22"/>
    <mergeCell ref="I22:J22"/>
    <mergeCell ref="K22:L22"/>
    <mergeCell ref="M22:N22"/>
    <mergeCell ref="O22:P22"/>
    <mergeCell ref="Q21:R21"/>
    <mergeCell ref="S21:T21"/>
    <mergeCell ref="U21:V21"/>
    <mergeCell ref="W21:Z21"/>
    <mergeCell ref="AA21:AD21"/>
    <mergeCell ref="AE21:AH21"/>
    <mergeCell ref="AI22:AL22"/>
    <mergeCell ref="AM22:AP22"/>
    <mergeCell ref="AQ22:AT22"/>
    <mergeCell ref="AU22:AX22"/>
    <mergeCell ref="W22:Z22"/>
    <mergeCell ref="AA22:AD22"/>
    <mergeCell ref="AE22:AH22"/>
    <mergeCell ref="C21:D21"/>
    <mergeCell ref="E21:H21"/>
    <mergeCell ref="I21:J21"/>
    <mergeCell ref="K21:L21"/>
    <mergeCell ref="E23:H23"/>
    <mergeCell ref="I23:J23"/>
    <mergeCell ref="K23:L23"/>
    <mergeCell ref="M23:N23"/>
    <mergeCell ref="O23:P23"/>
    <mergeCell ref="Q22:R22"/>
    <mergeCell ref="S22:T22"/>
    <mergeCell ref="U22:V22"/>
    <mergeCell ref="Q24:R24"/>
    <mergeCell ref="S24:T24"/>
    <mergeCell ref="U24:V24"/>
    <mergeCell ref="AI23:AL23"/>
    <mergeCell ref="AM23:AP23"/>
    <mergeCell ref="AQ23:AT23"/>
    <mergeCell ref="AU23:AX23"/>
    <mergeCell ref="C24:D24"/>
    <mergeCell ref="E24:H24"/>
    <mergeCell ref="I24:J24"/>
    <mergeCell ref="K24:L24"/>
    <mergeCell ref="M24:N24"/>
    <mergeCell ref="O24:P24"/>
    <mergeCell ref="Q23:R23"/>
    <mergeCell ref="S23:T23"/>
    <mergeCell ref="U23:V23"/>
    <mergeCell ref="W23:Z23"/>
    <mergeCell ref="AA23:AD23"/>
    <mergeCell ref="AE23:AH23"/>
    <mergeCell ref="AI24:AL24"/>
    <mergeCell ref="AM24:AP24"/>
    <mergeCell ref="AQ24:AT24"/>
    <mergeCell ref="AU24:AX24"/>
    <mergeCell ref="W24:Z24"/>
    <mergeCell ref="AA24:AD24"/>
    <mergeCell ref="AE24:AH24"/>
    <mergeCell ref="C23:D23"/>
    <mergeCell ref="AI25:AL25"/>
    <mergeCell ref="AM25:AP25"/>
    <mergeCell ref="AQ25:AT25"/>
    <mergeCell ref="AU25:AX25"/>
    <mergeCell ref="C26:J26"/>
    <mergeCell ref="K26:L26"/>
    <mergeCell ref="M26:N26"/>
    <mergeCell ref="O26:P26"/>
    <mergeCell ref="Q26:R26"/>
    <mergeCell ref="S26:T26"/>
    <mergeCell ref="Q25:R25"/>
    <mergeCell ref="S25:T25"/>
    <mergeCell ref="U25:V25"/>
    <mergeCell ref="W25:Z25"/>
    <mergeCell ref="AA25:AD25"/>
    <mergeCell ref="AE25:AH25"/>
    <mergeCell ref="C25:D25"/>
    <mergeCell ref="E25:H25"/>
    <mergeCell ref="I25:J25"/>
    <mergeCell ref="K25:L25"/>
    <mergeCell ref="M25:N25"/>
    <mergeCell ref="O25:P25"/>
    <mergeCell ref="C29:F29"/>
    <mergeCell ref="G29:H29"/>
    <mergeCell ref="I29:L29"/>
    <mergeCell ref="M29:P29"/>
    <mergeCell ref="Q29:T29"/>
    <mergeCell ref="U29:Y29"/>
    <mergeCell ref="U26:V26"/>
    <mergeCell ref="W26:Z26"/>
    <mergeCell ref="AA26:AD26"/>
    <mergeCell ref="AB29:AE29"/>
    <mergeCell ref="AF29:AG29"/>
    <mergeCell ref="AH29:AK29"/>
    <mergeCell ref="AL29:AP29"/>
    <mergeCell ref="AQ29:AT29"/>
    <mergeCell ref="AU29:AX29"/>
    <mergeCell ref="AQ26:AT26"/>
    <mergeCell ref="AU26:AX26"/>
    <mergeCell ref="V28:Y28"/>
    <mergeCell ref="AU28:AX28"/>
    <mergeCell ref="AE26:AH26"/>
    <mergeCell ref="AI26:AL26"/>
    <mergeCell ref="AM26:AP26"/>
    <mergeCell ref="AB30:AE30"/>
    <mergeCell ref="AF30:AG30"/>
    <mergeCell ref="AH30:AK30"/>
    <mergeCell ref="AL30:AP30"/>
    <mergeCell ref="AQ30:AT30"/>
    <mergeCell ref="AU30:AX30"/>
    <mergeCell ref="C30:F30"/>
    <mergeCell ref="G30:H30"/>
    <mergeCell ref="I30:L30"/>
    <mergeCell ref="M30:P30"/>
    <mergeCell ref="Q30:T30"/>
    <mergeCell ref="U30:Y30"/>
    <mergeCell ref="AB31:AE31"/>
    <mergeCell ref="AF31:AG31"/>
    <mergeCell ref="AH31:AK31"/>
    <mergeCell ref="AL31:AP31"/>
    <mergeCell ref="AQ31:AT31"/>
    <mergeCell ref="AU31:AX31"/>
    <mergeCell ref="C31:F31"/>
    <mergeCell ref="G31:H31"/>
    <mergeCell ref="I31:L31"/>
    <mergeCell ref="M31:P31"/>
    <mergeCell ref="Q31:T31"/>
    <mergeCell ref="U31:Y31"/>
    <mergeCell ref="AB32:AE32"/>
    <mergeCell ref="AF32:AG32"/>
    <mergeCell ref="AH32:AK32"/>
    <mergeCell ref="AL32:AP32"/>
    <mergeCell ref="AQ32:AT32"/>
    <mergeCell ref="AU32:AX32"/>
    <mergeCell ref="C32:F32"/>
    <mergeCell ref="G32:H32"/>
    <mergeCell ref="I32:L32"/>
    <mergeCell ref="M32:P32"/>
    <mergeCell ref="Q32:T32"/>
    <mergeCell ref="U32:Y32"/>
    <mergeCell ref="AB33:AE33"/>
    <mergeCell ref="AF33:AG33"/>
    <mergeCell ref="AH33:AK33"/>
    <mergeCell ref="AL33:AP33"/>
    <mergeCell ref="AQ33:AT33"/>
    <mergeCell ref="AU33:AX33"/>
    <mergeCell ref="C33:F33"/>
    <mergeCell ref="G33:H33"/>
    <mergeCell ref="I33:L33"/>
    <mergeCell ref="M33:P33"/>
    <mergeCell ref="Q33:T33"/>
    <mergeCell ref="U33:Y33"/>
    <mergeCell ref="C39:T39"/>
    <mergeCell ref="C40:T41"/>
    <mergeCell ref="W40:AA41"/>
    <mergeCell ref="AB40:AX41"/>
    <mergeCell ref="C36:F36"/>
    <mergeCell ref="G36:O36"/>
    <mergeCell ref="P36:T36"/>
    <mergeCell ref="W36:AA37"/>
    <mergeCell ref="AB36:AX37"/>
    <mergeCell ref="C37:F38"/>
    <mergeCell ref="G37:O38"/>
    <mergeCell ref="P37:T38"/>
    <mergeCell ref="W38:AA39"/>
    <mergeCell ref="AB38:AX39"/>
  </mergeCells>
  <phoneticPr fontId="6" type="noConversion"/>
  <pageMargins left="0.06" right="0" top="0.04" bottom="0" header="0" footer="0"/>
  <pageSetup paperSize="9" scale="27" orientation="landscape" horizontalDpi="4294967292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400"/>
  <sheetViews>
    <sheetView showFormulas="1" showZeros="0" zoomScale="85" zoomScaleNormal="8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39" sqref="D39"/>
    </sheetView>
  </sheetViews>
  <sheetFormatPr defaultRowHeight="13.5"/>
  <cols>
    <col min="1" max="1" width="9.25" style="12" bestFit="1" customWidth="1"/>
    <col min="2" max="2" width="16.5" style="13" customWidth="1"/>
    <col min="3" max="3" width="9.125" style="13" bestFit="1" customWidth="1"/>
    <col min="4" max="4" width="10.375" style="13" bestFit="1" customWidth="1"/>
    <col min="5" max="5" width="9.5" style="131" bestFit="1" customWidth="1"/>
    <col min="6" max="6" width="9.375" style="12" customWidth="1"/>
    <col min="7" max="7" width="9.875" style="12" bestFit="1" customWidth="1"/>
    <col min="8" max="13" width="8.5" style="12" customWidth="1"/>
    <col min="14" max="14" width="9.375" style="13" customWidth="1"/>
    <col min="15" max="15" width="9.5" style="12" customWidth="1"/>
    <col min="16" max="16" width="12.625" style="26" customWidth="1"/>
    <col min="17" max="17" width="14.875" style="26" customWidth="1"/>
    <col min="18" max="18" width="16.375" style="26" customWidth="1"/>
    <col min="19" max="19" width="15.875" style="56" bestFit="1" customWidth="1"/>
    <col min="20" max="21" width="18.5" style="56" bestFit="1" customWidth="1"/>
    <col min="22" max="22" width="18.125" style="56" customWidth="1"/>
    <col min="23" max="23" width="13.75" style="26" customWidth="1"/>
    <col min="24" max="24" width="17.75" style="26" customWidth="1"/>
    <col min="25" max="25" width="12.5" style="26" customWidth="1"/>
    <col min="26" max="26" width="11" style="26" bestFit="1" customWidth="1"/>
    <col min="27" max="27" width="8.5" style="13" customWidth="1"/>
    <col min="28" max="34" width="8.5" style="12" customWidth="1"/>
    <col min="35" max="16384" width="9" style="12"/>
  </cols>
  <sheetData>
    <row r="1" spans="1:32">
      <c r="T1" s="57">
        <v>0.45</v>
      </c>
      <c r="U1" s="57">
        <v>0.55000000000000004</v>
      </c>
    </row>
    <row r="2" spans="1:32" ht="14.25" thickBot="1">
      <c r="A2" s="12">
        <v>1</v>
      </c>
      <c r="B2" s="13">
        <v>2</v>
      </c>
      <c r="C2" s="13">
        <v>3</v>
      </c>
      <c r="D2" s="12">
        <v>4</v>
      </c>
      <c r="E2" s="132">
        <v>5</v>
      </c>
      <c r="F2" s="13">
        <v>6</v>
      </c>
      <c r="G2" s="13">
        <v>7</v>
      </c>
      <c r="H2" s="12">
        <v>8</v>
      </c>
      <c r="I2" s="13">
        <v>9</v>
      </c>
      <c r="J2" s="13">
        <v>10</v>
      </c>
      <c r="K2" s="13">
        <v>11</v>
      </c>
      <c r="L2" s="12">
        <v>12</v>
      </c>
      <c r="M2" s="13">
        <v>13</v>
      </c>
      <c r="N2" s="13">
        <v>14</v>
      </c>
      <c r="O2" s="13">
        <v>15</v>
      </c>
      <c r="P2" s="12">
        <v>16</v>
      </c>
      <c r="Q2" s="13">
        <v>17</v>
      </c>
      <c r="R2" s="13">
        <v>18</v>
      </c>
      <c r="S2" s="13">
        <v>19</v>
      </c>
      <c r="T2" s="13">
        <v>20</v>
      </c>
      <c r="U2" s="13">
        <v>21</v>
      </c>
      <c r="V2" s="13">
        <v>22</v>
      </c>
      <c r="W2" s="13">
        <v>23</v>
      </c>
      <c r="X2" s="12">
        <v>24</v>
      </c>
      <c r="Y2" s="13">
        <v>25</v>
      </c>
      <c r="Z2" s="13">
        <v>26</v>
      </c>
      <c r="AA2" s="13">
        <v>27</v>
      </c>
      <c r="AB2" s="12">
        <v>28</v>
      </c>
      <c r="AC2" s="12">
        <v>29</v>
      </c>
      <c r="AD2" s="12">
        <v>30</v>
      </c>
      <c r="AE2" s="12">
        <v>31</v>
      </c>
      <c r="AF2" s="12">
        <v>32</v>
      </c>
    </row>
    <row r="3" spans="1:32" ht="13.5" customHeight="1">
      <c r="A3" s="411" t="s">
        <v>0</v>
      </c>
      <c r="B3" s="392" t="s">
        <v>414</v>
      </c>
      <c r="C3" s="393"/>
      <c r="D3" s="392" t="s">
        <v>415</v>
      </c>
      <c r="E3" s="393"/>
      <c r="F3" s="392" t="s">
        <v>416</v>
      </c>
      <c r="G3" s="393"/>
      <c r="H3" s="414" t="s">
        <v>417</v>
      </c>
      <c r="I3" s="415"/>
      <c r="J3" s="415"/>
      <c r="K3" s="415"/>
      <c r="L3" s="415"/>
      <c r="M3" s="416"/>
      <c r="N3" s="392" t="s">
        <v>418</v>
      </c>
      <c r="O3" s="393"/>
      <c r="P3" s="392" t="s">
        <v>419</v>
      </c>
      <c r="Q3" s="396"/>
      <c r="R3" s="393"/>
      <c r="S3" s="398" t="s">
        <v>420</v>
      </c>
      <c r="T3" s="399"/>
      <c r="U3" s="399"/>
      <c r="V3" s="400"/>
      <c r="W3" s="406" t="s">
        <v>421</v>
      </c>
      <c r="X3" s="383" t="s">
        <v>422</v>
      </c>
      <c r="Y3" s="386" t="s">
        <v>423</v>
      </c>
      <c r="Z3" s="387"/>
    </row>
    <row r="4" spans="1:32" ht="13.5" customHeight="1">
      <c r="A4" s="412"/>
      <c r="B4" s="394"/>
      <c r="C4" s="395"/>
      <c r="D4" s="394"/>
      <c r="E4" s="395"/>
      <c r="F4" s="394"/>
      <c r="G4" s="395"/>
      <c r="H4" s="390" t="s">
        <v>355</v>
      </c>
      <c r="I4" s="391"/>
      <c r="J4" s="390" t="s">
        <v>356</v>
      </c>
      <c r="K4" s="391"/>
      <c r="L4" s="390" t="s">
        <v>357</v>
      </c>
      <c r="M4" s="391"/>
      <c r="N4" s="394"/>
      <c r="O4" s="395"/>
      <c r="P4" s="394"/>
      <c r="Q4" s="397"/>
      <c r="R4" s="395"/>
      <c r="S4" s="401"/>
      <c r="T4" s="402"/>
      <c r="U4" s="402"/>
      <c r="V4" s="403"/>
      <c r="W4" s="407"/>
      <c r="X4" s="384"/>
      <c r="Y4" s="388"/>
      <c r="Z4" s="389"/>
    </row>
    <row r="5" spans="1:32" ht="17.25" thickBot="1">
      <c r="A5" s="413"/>
      <c r="B5" s="35" t="s">
        <v>424</v>
      </c>
      <c r="C5" s="35" t="s">
        <v>425</v>
      </c>
      <c r="D5" s="35" t="s">
        <v>358</v>
      </c>
      <c r="E5" s="133" t="s">
        <v>359</v>
      </c>
      <c r="F5" s="35" t="s">
        <v>358</v>
      </c>
      <c r="G5" s="35" t="s">
        <v>359</v>
      </c>
      <c r="H5" s="46" t="s">
        <v>358</v>
      </c>
      <c r="I5" s="46" t="s">
        <v>359</v>
      </c>
      <c r="J5" s="46" t="s">
        <v>358</v>
      </c>
      <c r="K5" s="46" t="s">
        <v>359</v>
      </c>
      <c r="L5" s="46" t="s">
        <v>358</v>
      </c>
      <c r="M5" s="46" t="s">
        <v>359</v>
      </c>
      <c r="N5" s="35" t="s">
        <v>358</v>
      </c>
      <c r="O5" s="35" t="s">
        <v>359</v>
      </c>
      <c r="P5" s="36" t="s">
        <v>77</v>
      </c>
      <c r="Q5" s="36" t="s">
        <v>78</v>
      </c>
      <c r="R5" s="36" t="s">
        <v>426</v>
      </c>
      <c r="S5" s="36" t="s">
        <v>77</v>
      </c>
      <c r="T5" s="36" t="s">
        <v>350</v>
      </c>
      <c r="U5" s="36" t="s">
        <v>351</v>
      </c>
      <c r="V5" s="36" t="s">
        <v>79</v>
      </c>
      <c r="W5" s="408"/>
      <c r="X5" s="385"/>
      <c r="Y5" s="47" t="s">
        <v>408</v>
      </c>
      <c r="Z5" s="48" t="s">
        <v>406</v>
      </c>
      <c r="AB5" s="12" t="s">
        <v>355</v>
      </c>
      <c r="AC5" s="12" t="s">
        <v>360</v>
      </c>
      <c r="AD5" s="12" t="s">
        <v>361</v>
      </c>
      <c r="AE5" s="12" t="s">
        <v>356</v>
      </c>
      <c r="AF5" s="12" t="s">
        <v>357</v>
      </c>
    </row>
    <row r="6" spans="1:32">
      <c r="A6" s="113" t="s">
        <v>437</v>
      </c>
      <c r="B6" s="15" t="s">
        <v>370</v>
      </c>
      <c r="C6" s="124" t="s">
        <v>406</v>
      </c>
      <c r="D6" s="115">
        <v>157.29</v>
      </c>
      <c r="E6" s="17">
        <v>47.580224999999999</v>
      </c>
      <c r="F6" s="18">
        <v>343.15</v>
      </c>
      <c r="G6" s="17">
        <v>103.80287499999999</v>
      </c>
      <c r="H6" s="45">
        <v>62.45</v>
      </c>
      <c r="I6" s="45">
        <v>18.891124999999999</v>
      </c>
      <c r="J6" s="45">
        <v>123.41</v>
      </c>
      <c r="K6" s="45">
        <v>37.331524999999999</v>
      </c>
      <c r="L6" s="45">
        <v>185.86</v>
      </c>
      <c r="M6" s="45">
        <v>56.222650000000002</v>
      </c>
      <c r="N6" s="18">
        <v>52.03</v>
      </c>
      <c r="O6" s="116">
        <v>15.739075</v>
      </c>
      <c r="P6" s="19">
        <v>20000</v>
      </c>
      <c r="Q6" s="20">
        <v>2077000</v>
      </c>
      <c r="R6" s="20">
        <v>20770000</v>
      </c>
      <c r="S6" s="19"/>
      <c r="T6" s="19"/>
      <c r="U6" s="19"/>
      <c r="V6" s="20"/>
      <c r="W6" s="117">
        <v>207700</v>
      </c>
      <c r="X6" s="118">
        <v>2284700</v>
      </c>
      <c r="Y6" s="41"/>
      <c r="Z6" s="120">
        <v>2077000</v>
      </c>
      <c r="AA6" s="122" t="s">
        <v>407</v>
      </c>
      <c r="AB6" s="123">
        <v>62.45</v>
      </c>
      <c r="AC6" s="123">
        <v>9.64</v>
      </c>
      <c r="AD6" s="123">
        <v>113.77</v>
      </c>
      <c r="AE6" s="123">
        <v>123.41</v>
      </c>
      <c r="AF6" s="123">
        <v>185.86</v>
      </c>
    </row>
    <row r="7" spans="1:32">
      <c r="A7" s="113" t="s">
        <v>438</v>
      </c>
      <c r="B7" s="15" t="s">
        <v>370</v>
      </c>
      <c r="C7" s="124" t="s">
        <v>406</v>
      </c>
      <c r="D7" s="115">
        <v>131.09</v>
      </c>
      <c r="E7" s="17">
        <v>39.654724999999999</v>
      </c>
      <c r="F7" s="18">
        <v>286</v>
      </c>
      <c r="G7" s="17">
        <v>86.515000000000001</v>
      </c>
      <c r="H7" s="45">
        <v>52.05</v>
      </c>
      <c r="I7" s="45">
        <v>15.745124999999998</v>
      </c>
      <c r="J7" s="45">
        <v>102.85999999999999</v>
      </c>
      <c r="K7" s="45">
        <v>31.115149999999996</v>
      </c>
      <c r="L7" s="45">
        <v>154.91</v>
      </c>
      <c r="M7" s="45">
        <v>46.860274999999994</v>
      </c>
      <c r="N7" s="18">
        <v>43.35</v>
      </c>
      <c r="O7" s="116">
        <v>13.113375</v>
      </c>
      <c r="P7" s="19">
        <v>20000</v>
      </c>
      <c r="Q7" s="20">
        <v>1731000</v>
      </c>
      <c r="R7" s="20">
        <v>17310000</v>
      </c>
      <c r="S7" s="19"/>
      <c r="T7" s="19"/>
      <c r="U7" s="19"/>
      <c r="V7" s="20"/>
      <c r="W7" s="117">
        <v>173100</v>
      </c>
      <c r="X7" s="118">
        <v>1904100</v>
      </c>
      <c r="Y7" s="39"/>
      <c r="Z7" s="121">
        <v>1731000</v>
      </c>
      <c r="AA7" s="122" t="s">
        <v>407</v>
      </c>
      <c r="AB7" s="123">
        <v>52.05</v>
      </c>
      <c r="AC7" s="123">
        <v>8.0399999999999991</v>
      </c>
      <c r="AD7" s="123">
        <v>94.82</v>
      </c>
      <c r="AE7" s="123">
        <v>102.85999999999999</v>
      </c>
      <c r="AF7" s="123">
        <v>154.91</v>
      </c>
    </row>
    <row r="8" spans="1:32">
      <c r="A8" s="113" t="s">
        <v>439</v>
      </c>
      <c r="B8" s="15" t="s">
        <v>370</v>
      </c>
      <c r="C8" s="124" t="s">
        <v>406</v>
      </c>
      <c r="D8" s="115">
        <v>175.53</v>
      </c>
      <c r="E8" s="17">
        <v>53.097825</v>
      </c>
      <c r="F8" s="18">
        <v>382.95</v>
      </c>
      <c r="G8" s="17">
        <v>115.84237499999999</v>
      </c>
      <c r="H8" s="45">
        <v>69.69</v>
      </c>
      <c r="I8" s="45">
        <v>21.081225</v>
      </c>
      <c r="J8" s="45">
        <v>137.72999999999999</v>
      </c>
      <c r="K8" s="45">
        <v>41.663324999999993</v>
      </c>
      <c r="L8" s="45">
        <v>207.42</v>
      </c>
      <c r="M8" s="45">
        <v>62.744549999999997</v>
      </c>
      <c r="N8" s="18">
        <v>58.04</v>
      </c>
      <c r="O8" s="116">
        <v>17.557099999999998</v>
      </c>
      <c r="P8" s="19">
        <v>20000</v>
      </c>
      <c r="Q8" s="20">
        <v>2317000</v>
      </c>
      <c r="R8" s="20">
        <v>23170000</v>
      </c>
      <c r="S8" s="19"/>
      <c r="T8" s="19"/>
      <c r="U8" s="19"/>
      <c r="V8" s="20"/>
      <c r="W8" s="117">
        <v>231700</v>
      </c>
      <c r="X8" s="118">
        <v>2548700</v>
      </c>
      <c r="Y8" s="39"/>
      <c r="Z8" s="121">
        <v>2317000</v>
      </c>
      <c r="AA8" s="122" t="s">
        <v>407</v>
      </c>
      <c r="AB8" s="123">
        <v>69.69</v>
      </c>
      <c r="AC8" s="123">
        <v>10.77</v>
      </c>
      <c r="AD8" s="123">
        <v>126.96</v>
      </c>
      <c r="AE8" s="123">
        <v>137.72999999999999</v>
      </c>
      <c r="AF8" s="123">
        <v>207.42</v>
      </c>
    </row>
    <row r="9" spans="1:32">
      <c r="A9" s="113" t="s">
        <v>440</v>
      </c>
      <c r="B9" s="15" t="s">
        <v>370</v>
      </c>
      <c r="C9" s="124" t="s">
        <v>406</v>
      </c>
      <c r="D9" s="115">
        <v>41.36</v>
      </c>
      <c r="E9" s="17">
        <v>12.5114</v>
      </c>
      <c r="F9" s="18">
        <v>90.240000000000009</v>
      </c>
      <c r="G9" s="17">
        <v>27.297600000000003</v>
      </c>
      <c r="H9" s="45">
        <v>16.420000000000002</v>
      </c>
      <c r="I9" s="45">
        <v>4.9670500000000004</v>
      </c>
      <c r="J9" s="45">
        <v>32.46</v>
      </c>
      <c r="K9" s="45">
        <v>9.8191500000000005</v>
      </c>
      <c r="L9" s="45">
        <v>48.88</v>
      </c>
      <c r="M9" s="45">
        <v>14.786200000000001</v>
      </c>
      <c r="N9" s="18">
        <v>13.68</v>
      </c>
      <c r="O9" s="116">
        <v>4.1381999999999994</v>
      </c>
      <c r="P9" s="19">
        <v>20000</v>
      </c>
      <c r="Q9" s="20">
        <v>546000</v>
      </c>
      <c r="R9" s="20">
        <v>5460000</v>
      </c>
      <c r="S9" s="19"/>
      <c r="T9" s="19"/>
      <c r="U9" s="19"/>
      <c r="V9" s="20"/>
      <c r="W9" s="117">
        <v>54600</v>
      </c>
      <c r="X9" s="118">
        <v>600600</v>
      </c>
      <c r="Y9" s="39"/>
      <c r="Z9" s="121">
        <v>546000</v>
      </c>
      <c r="AA9" s="122" t="s">
        <v>407</v>
      </c>
      <c r="AB9" s="123">
        <v>16.420000000000002</v>
      </c>
      <c r="AC9" s="123">
        <v>2.54</v>
      </c>
      <c r="AD9" s="123">
        <v>29.92</v>
      </c>
      <c r="AE9" s="123">
        <v>32.46</v>
      </c>
      <c r="AF9" s="123">
        <v>48.88</v>
      </c>
    </row>
    <row r="10" spans="1:32">
      <c r="A10" s="113" t="s">
        <v>441</v>
      </c>
      <c r="B10" s="15" t="s">
        <v>370</v>
      </c>
      <c r="C10" s="124" t="s">
        <v>406</v>
      </c>
      <c r="D10" s="115">
        <v>40.61</v>
      </c>
      <c r="E10" s="17">
        <v>12.284524999999999</v>
      </c>
      <c r="F10" s="18">
        <v>88.59</v>
      </c>
      <c r="G10" s="17">
        <v>26.798475</v>
      </c>
      <c r="H10" s="45">
        <v>16.12</v>
      </c>
      <c r="I10" s="45">
        <v>4.8763000000000005</v>
      </c>
      <c r="J10" s="45">
        <v>31.86</v>
      </c>
      <c r="K10" s="45">
        <v>9.6376499999999989</v>
      </c>
      <c r="L10" s="45">
        <v>47.980000000000004</v>
      </c>
      <c r="M10" s="45">
        <v>14.513950000000001</v>
      </c>
      <c r="N10" s="18">
        <v>13.43</v>
      </c>
      <c r="O10" s="116">
        <v>4.0625749999999998</v>
      </c>
      <c r="P10" s="19">
        <v>20000</v>
      </c>
      <c r="Q10" s="20">
        <v>536000</v>
      </c>
      <c r="R10" s="20">
        <v>5360000</v>
      </c>
      <c r="S10" s="19"/>
      <c r="T10" s="19"/>
      <c r="U10" s="19"/>
      <c r="V10" s="20"/>
      <c r="W10" s="117">
        <v>53600</v>
      </c>
      <c r="X10" s="118">
        <v>589600</v>
      </c>
      <c r="Y10" s="39"/>
      <c r="Z10" s="121">
        <v>536000</v>
      </c>
      <c r="AA10" s="122" t="s">
        <v>407</v>
      </c>
      <c r="AB10" s="123">
        <v>16.12</v>
      </c>
      <c r="AC10" s="123">
        <v>2.4900000000000002</v>
      </c>
      <c r="AD10" s="123">
        <v>29.37</v>
      </c>
      <c r="AE10" s="123">
        <v>31.86</v>
      </c>
      <c r="AF10" s="123">
        <v>47.980000000000004</v>
      </c>
    </row>
    <row r="11" spans="1:32">
      <c r="A11" s="113" t="s">
        <v>442</v>
      </c>
      <c r="B11" s="15" t="s">
        <v>370</v>
      </c>
      <c r="C11" s="124" t="s">
        <v>406</v>
      </c>
      <c r="D11" s="115">
        <v>46.26</v>
      </c>
      <c r="E11" s="17">
        <v>13.993649999999999</v>
      </c>
      <c r="F11" s="18">
        <v>100.93</v>
      </c>
      <c r="G11" s="17">
        <v>30.531325000000002</v>
      </c>
      <c r="H11" s="45">
        <v>18.37</v>
      </c>
      <c r="I11" s="45">
        <v>5.5569250000000006</v>
      </c>
      <c r="J11" s="45">
        <v>36.299999999999997</v>
      </c>
      <c r="K11" s="45">
        <v>10.980749999999999</v>
      </c>
      <c r="L11" s="45">
        <v>54.67</v>
      </c>
      <c r="M11" s="45">
        <v>16.537675</v>
      </c>
      <c r="N11" s="18">
        <v>15.3</v>
      </c>
      <c r="O11" s="116">
        <v>4.6282500000000004</v>
      </c>
      <c r="P11" s="19">
        <v>20000</v>
      </c>
      <c r="Q11" s="20">
        <v>611000</v>
      </c>
      <c r="R11" s="20">
        <v>6110000</v>
      </c>
      <c r="S11" s="19"/>
      <c r="T11" s="19"/>
      <c r="U11" s="19"/>
      <c r="V11" s="20"/>
      <c r="W11" s="117">
        <v>61100</v>
      </c>
      <c r="X11" s="118">
        <v>672100</v>
      </c>
      <c r="Y11" s="39"/>
      <c r="Z11" s="121">
        <v>611000</v>
      </c>
      <c r="AA11" s="122" t="s">
        <v>407</v>
      </c>
      <c r="AB11" s="123">
        <v>18.37</v>
      </c>
      <c r="AC11" s="123">
        <v>2.84</v>
      </c>
      <c r="AD11" s="123">
        <v>33.46</v>
      </c>
      <c r="AE11" s="123">
        <v>36.299999999999997</v>
      </c>
      <c r="AF11" s="123">
        <v>54.67</v>
      </c>
    </row>
    <row r="12" spans="1:32">
      <c r="A12" s="113" t="s">
        <v>443</v>
      </c>
      <c r="B12" s="15" t="s">
        <v>370</v>
      </c>
      <c r="C12" s="124" t="s">
        <v>406</v>
      </c>
      <c r="D12" s="115">
        <v>45.94</v>
      </c>
      <c r="E12" s="17">
        <v>13.896849999999999</v>
      </c>
      <c r="F12" s="18">
        <v>100.22999999999999</v>
      </c>
      <c r="G12" s="17">
        <v>30.319574999999997</v>
      </c>
      <c r="H12" s="45">
        <v>18.239999999999998</v>
      </c>
      <c r="I12" s="45">
        <v>5.5175999999999989</v>
      </c>
      <c r="J12" s="45">
        <v>36.049999999999997</v>
      </c>
      <c r="K12" s="45">
        <v>10.905124999999998</v>
      </c>
      <c r="L12" s="45">
        <v>54.289999999999992</v>
      </c>
      <c r="M12" s="45">
        <v>16.422724999999996</v>
      </c>
      <c r="N12" s="18">
        <v>15.19</v>
      </c>
      <c r="O12" s="116">
        <v>4.5949749999999998</v>
      </c>
      <c r="P12" s="19">
        <v>20000</v>
      </c>
      <c r="Q12" s="20">
        <v>607000</v>
      </c>
      <c r="R12" s="20">
        <v>6070000</v>
      </c>
      <c r="S12" s="19"/>
      <c r="T12" s="19"/>
      <c r="U12" s="19"/>
      <c r="V12" s="20"/>
      <c r="W12" s="117">
        <v>60700</v>
      </c>
      <c r="X12" s="118">
        <v>667700</v>
      </c>
      <c r="Y12" s="39"/>
      <c r="Z12" s="121">
        <v>607000</v>
      </c>
      <c r="AA12" s="122" t="s">
        <v>407</v>
      </c>
      <c r="AB12" s="123">
        <v>18.239999999999998</v>
      </c>
      <c r="AC12" s="123">
        <v>2.82</v>
      </c>
      <c r="AD12" s="123">
        <v>33.229999999999997</v>
      </c>
      <c r="AE12" s="123">
        <v>36.049999999999997</v>
      </c>
      <c r="AF12" s="123">
        <v>54.289999999999992</v>
      </c>
    </row>
    <row r="13" spans="1:32">
      <c r="A13" s="113" t="s">
        <v>444</v>
      </c>
      <c r="B13" s="15" t="s">
        <v>370</v>
      </c>
      <c r="C13" s="124" t="s">
        <v>406</v>
      </c>
      <c r="D13" s="115">
        <v>54.79</v>
      </c>
      <c r="E13" s="17">
        <v>16.573975000000001</v>
      </c>
      <c r="F13" s="18">
        <v>119.53</v>
      </c>
      <c r="G13" s="17">
        <v>36.157825000000003</v>
      </c>
      <c r="H13" s="45">
        <v>21.75</v>
      </c>
      <c r="I13" s="45">
        <v>6.5793749999999998</v>
      </c>
      <c r="J13" s="45">
        <v>42.99</v>
      </c>
      <c r="K13" s="45">
        <v>13.004474999999999</v>
      </c>
      <c r="L13" s="45">
        <v>64.740000000000009</v>
      </c>
      <c r="M13" s="45">
        <v>19.583850000000002</v>
      </c>
      <c r="N13" s="18">
        <v>18.12</v>
      </c>
      <c r="O13" s="116">
        <v>5.4813000000000001</v>
      </c>
      <c r="P13" s="19">
        <v>20000</v>
      </c>
      <c r="Q13" s="20">
        <v>724000</v>
      </c>
      <c r="R13" s="20">
        <v>7240000</v>
      </c>
      <c r="S13" s="19"/>
      <c r="T13" s="19"/>
      <c r="U13" s="19"/>
      <c r="V13" s="20"/>
      <c r="W13" s="117">
        <v>72400</v>
      </c>
      <c r="X13" s="118">
        <v>796400</v>
      </c>
      <c r="Y13" s="39"/>
      <c r="Z13" s="121">
        <v>724000</v>
      </c>
      <c r="AA13" s="122" t="s">
        <v>407</v>
      </c>
      <c r="AB13" s="123">
        <v>21.75</v>
      </c>
      <c r="AC13" s="123">
        <v>3.36</v>
      </c>
      <c r="AD13" s="123">
        <v>39.630000000000003</v>
      </c>
      <c r="AE13" s="123">
        <v>42.99</v>
      </c>
      <c r="AF13" s="123">
        <v>64.740000000000009</v>
      </c>
    </row>
    <row r="14" spans="1:32">
      <c r="A14" s="113" t="s">
        <v>445</v>
      </c>
      <c r="B14" s="15" t="s">
        <v>370</v>
      </c>
      <c r="C14" s="124" t="s">
        <v>406</v>
      </c>
      <c r="D14" s="115">
        <v>166.02</v>
      </c>
      <c r="E14" s="17">
        <v>50.221049999999998</v>
      </c>
      <c r="F14" s="18">
        <v>362.21000000000004</v>
      </c>
      <c r="G14" s="17">
        <v>109.56852500000001</v>
      </c>
      <c r="H14" s="45">
        <v>65.92</v>
      </c>
      <c r="I14" s="45">
        <v>19.940799999999999</v>
      </c>
      <c r="J14" s="45">
        <v>130.27000000000001</v>
      </c>
      <c r="K14" s="45">
        <v>39.406675</v>
      </c>
      <c r="L14" s="45">
        <v>196.19</v>
      </c>
      <c r="M14" s="45">
        <v>59.347474999999996</v>
      </c>
      <c r="N14" s="18">
        <v>54.9</v>
      </c>
      <c r="O14" s="116">
        <v>16.607250000000001</v>
      </c>
      <c r="P14" s="19">
        <v>20000</v>
      </c>
      <c r="Q14" s="20">
        <v>2192000</v>
      </c>
      <c r="R14" s="20">
        <v>21920000</v>
      </c>
      <c r="S14" s="19"/>
      <c r="T14" s="19"/>
      <c r="U14" s="19"/>
      <c r="V14" s="20"/>
      <c r="W14" s="117">
        <v>219200</v>
      </c>
      <c r="X14" s="118">
        <v>2411200</v>
      </c>
      <c r="Y14" s="39"/>
      <c r="Z14" s="121">
        <v>2192000</v>
      </c>
      <c r="AA14" s="122" t="s">
        <v>407</v>
      </c>
      <c r="AB14" s="123">
        <v>65.92</v>
      </c>
      <c r="AC14" s="123">
        <v>10.19</v>
      </c>
      <c r="AD14" s="123">
        <v>120.08</v>
      </c>
      <c r="AE14" s="123">
        <v>130.27000000000001</v>
      </c>
      <c r="AF14" s="123">
        <v>196.19</v>
      </c>
    </row>
    <row r="15" spans="1:32">
      <c r="A15" s="113" t="s">
        <v>446</v>
      </c>
      <c r="B15" s="15" t="s">
        <v>370</v>
      </c>
      <c r="C15" s="124" t="s">
        <v>406</v>
      </c>
      <c r="D15" s="115">
        <v>37</v>
      </c>
      <c r="E15" s="17">
        <v>11.192499999999999</v>
      </c>
      <c r="F15" s="18">
        <v>80.72</v>
      </c>
      <c r="G15" s="17">
        <v>24.4178</v>
      </c>
      <c r="H15" s="45">
        <v>14.69</v>
      </c>
      <c r="I15" s="45">
        <v>4.4437249999999997</v>
      </c>
      <c r="J15" s="45">
        <v>29.03</v>
      </c>
      <c r="K15" s="45">
        <v>8.7815750000000001</v>
      </c>
      <c r="L15" s="45">
        <v>43.72</v>
      </c>
      <c r="M15" s="45">
        <v>13.225299999999999</v>
      </c>
      <c r="N15" s="18">
        <v>12.24</v>
      </c>
      <c r="O15" s="116">
        <v>3.7025999999999999</v>
      </c>
      <c r="P15" s="19">
        <v>20000</v>
      </c>
      <c r="Q15" s="20">
        <v>489000</v>
      </c>
      <c r="R15" s="20">
        <v>4890000</v>
      </c>
      <c r="S15" s="19"/>
      <c r="T15" s="19"/>
      <c r="U15" s="19"/>
      <c r="V15" s="20"/>
      <c r="W15" s="117">
        <v>48900</v>
      </c>
      <c r="X15" s="118">
        <v>537900</v>
      </c>
      <c r="Y15" s="39"/>
      <c r="Z15" s="121">
        <v>489000</v>
      </c>
      <c r="AA15" s="122" t="s">
        <v>407</v>
      </c>
      <c r="AB15" s="123">
        <v>14.69</v>
      </c>
      <c r="AC15" s="123">
        <v>2.27</v>
      </c>
      <c r="AD15" s="123">
        <v>26.76</v>
      </c>
      <c r="AE15" s="123">
        <v>29.03</v>
      </c>
      <c r="AF15" s="123">
        <v>43.72</v>
      </c>
    </row>
    <row r="16" spans="1:32">
      <c r="A16" s="113" t="s">
        <v>447</v>
      </c>
      <c r="B16" s="15" t="s">
        <v>370</v>
      </c>
      <c r="C16" s="124" t="s">
        <v>406</v>
      </c>
      <c r="D16" s="115">
        <v>37.69</v>
      </c>
      <c r="E16" s="17">
        <v>11.401224999999998</v>
      </c>
      <c r="F16" s="18">
        <v>82.22</v>
      </c>
      <c r="G16" s="17">
        <v>24.871549999999999</v>
      </c>
      <c r="H16" s="45">
        <v>14.96</v>
      </c>
      <c r="I16" s="45">
        <v>4.5254000000000003</v>
      </c>
      <c r="J16" s="45">
        <v>29.57</v>
      </c>
      <c r="K16" s="45">
        <v>8.9449249999999996</v>
      </c>
      <c r="L16" s="45">
        <v>44.53</v>
      </c>
      <c r="M16" s="45">
        <v>13.470325000000001</v>
      </c>
      <c r="N16" s="18">
        <v>12.46</v>
      </c>
      <c r="O16" s="116">
        <v>3.7691500000000002</v>
      </c>
      <c r="P16" s="19">
        <v>20000</v>
      </c>
      <c r="Q16" s="20">
        <v>498000</v>
      </c>
      <c r="R16" s="20">
        <v>4980000</v>
      </c>
      <c r="S16" s="19"/>
      <c r="T16" s="19"/>
      <c r="U16" s="19"/>
      <c r="V16" s="20"/>
      <c r="W16" s="117">
        <v>49800</v>
      </c>
      <c r="X16" s="118">
        <v>547800</v>
      </c>
      <c r="Y16" s="39"/>
      <c r="Z16" s="121">
        <v>498000</v>
      </c>
      <c r="AA16" s="122" t="s">
        <v>407</v>
      </c>
      <c r="AB16" s="123">
        <v>14.96</v>
      </c>
      <c r="AC16" s="123">
        <v>2.31</v>
      </c>
      <c r="AD16" s="123">
        <v>27.26</v>
      </c>
      <c r="AE16" s="123">
        <v>29.57</v>
      </c>
      <c r="AF16" s="123">
        <v>44.53</v>
      </c>
    </row>
    <row r="17" spans="1:32">
      <c r="A17" s="113" t="s">
        <v>448</v>
      </c>
      <c r="B17" s="15" t="s">
        <v>370</v>
      </c>
      <c r="C17" s="124" t="s">
        <v>406</v>
      </c>
      <c r="D17" s="115">
        <v>26.87</v>
      </c>
      <c r="E17" s="17">
        <v>8.1281750000000006</v>
      </c>
      <c r="F17" s="18">
        <v>58.63</v>
      </c>
      <c r="G17" s="17">
        <v>17.735575000000001</v>
      </c>
      <c r="H17" s="45">
        <v>10.67</v>
      </c>
      <c r="I17" s="45">
        <v>3.2276750000000001</v>
      </c>
      <c r="J17" s="45">
        <v>21.09</v>
      </c>
      <c r="K17" s="45">
        <v>6.3797249999999996</v>
      </c>
      <c r="L17" s="45">
        <v>31.76</v>
      </c>
      <c r="M17" s="45">
        <v>9.6074000000000002</v>
      </c>
      <c r="N17" s="18">
        <v>8.89</v>
      </c>
      <c r="O17" s="116">
        <v>2.689225</v>
      </c>
      <c r="P17" s="19">
        <v>20000</v>
      </c>
      <c r="Q17" s="20">
        <v>355000</v>
      </c>
      <c r="R17" s="20">
        <v>3550000</v>
      </c>
      <c r="S17" s="19"/>
      <c r="T17" s="19"/>
      <c r="U17" s="19"/>
      <c r="V17" s="20"/>
      <c r="W17" s="117">
        <v>35500</v>
      </c>
      <c r="X17" s="118">
        <v>390500</v>
      </c>
      <c r="Y17" s="39"/>
      <c r="Z17" s="121">
        <v>355000</v>
      </c>
      <c r="AA17" s="122" t="s">
        <v>407</v>
      </c>
      <c r="AB17" s="123">
        <v>10.67</v>
      </c>
      <c r="AC17" s="123">
        <v>1.65</v>
      </c>
      <c r="AD17" s="123">
        <v>19.440000000000001</v>
      </c>
      <c r="AE17" s="123">
        <v>21.09</v>
      </c>
      <c r="AF17" s="123">
        <v>31.76</v>
      </c>
    </row>
    <row r="18" spans="1:32" ht="13.5" customHeight="1">
      <c r="A18" s="409" t="s">
        <v>470</v>
      </c>
      <c r="B18" s="410"/>
      <c r="C18" s="125">
        <v>12</v>
      </c>
      <c r="D18" s="129">
        <v>960.44999999999993</v>
      </c>
      <c r="E18" s="134">
        <v>290.53612500000003</v>
      </c>
      <c r="F18" s="129">
        <v>2095.4</v>
      </c>
      <c r="G18" s="129">
        <v>633.85849999999982</v>
      </c>
      <c r="H18" s="129">
        <v>381.33000000000004</v>
      </c>
      <c r="I18" s="129">
        <v>115.35232500000001</v>
      </c>
      <c r="J18" s="129">
        <v>753.62</v>
      </c>
      <c r="K18" s="129">
        <v>227.97005000000004</v>
      </c>
      <c r="L18" s="129">
        <v>1134.9499999999998</v>
      </c>
      <c r="M18" s="129">
        <v>343.32237499999997</v>
      </c>
      <c r="N18" s="129">
        <v>317.63</v>
      </c>
      <c r="O18" s="129">
        <v>96.083074999999994</v>
      </c>
      <c r="P18" s="119">
        <v>20009.197636380995</v>
      </c>
      <c r="Q18" s="119">
        <v>12683000</v>
      </c>
      <c r="R18" s="119">
        <v>126830000</v>
      </c>
      <c r="S18" s="119"/>
      <c r="T18" s="119">
        <v>0</v>
      </c>
      <c r="U18" s="119">
        <v>0</v>
      </c>
      <c r="V18" s="119">
        <v>0</v>
      </c>
      <c r="W18" s="119">
        <v>1268300</v>
      </c>
      <c r="X18" s="119">
        <v>13951300</v>
      </c>
      <c r="Y18" s="39"/>
      <c r="Z18" s="121"/>
      <c r="AA18" s="122"/>
      <c r="AB18" s="123"/>
      <c r="AC18" s="123"/>
      <c r="AD18" s="123"/>
      <c r="AE18" s="123"/>
      <c r="AF18" s="123"/>
    </row>
    <row r="19" spans="1:32">
      <c r="A19" s="113" t="s">
        <v>450</v>
      </c>
      <c r="B19" s="15" t="s">
        <v>370</v>
      </c>
      <c r="C19" s="124" t="s">
        <v>406</v>
      </c>
      <c r="D19" s="115">
        <v>157.29</v>
      </c>
      <c r="E19" s="17">
        <v>47.580224999999999</v>
      </c>
      <c r="F19" s="18">
        <v>343.15999999999997</v>
      </c>
      <c r="G19" s="17">
        <v>103.80589999999999</v>
      </c>
      <c r="H19" s="45">
        <v>62.45</v>
      </c>
      <c r="I19" s="45">
        <v>18.891124999999999</v>
      </c>
      <c r="J19" s="45">
        <v>123.42</v>
      </c>
      <c r="K19" s="45">
        <v>37.33455</v>
      </c>
      <c r="L19" s="45">
        <v>185.87</v>
      </c>
      <c r="M19" s="45">
        <v>56.225675000000003</v>
      </c>
      <c r="N19" s="18">
        <v>52.01</v>
      </c>
      <c r="O19" s="17">
        <v>15.733025</v>
      </c>
      <c r="P19" s="19">
        <v>20000</v>
      </c>
      <c r="Q19" s="20">
        <v>2077000</v>
      </c>
      <c r="R19" s="20">
        <v>20770000</v>
      </c>
      <c r="S19" s="19"/>
      <c r="T19" s="19"/>
      <c r="U19" s="19"/>
      <c r="V19" s="20"/>
      <c r="W19" s="117">
        <v>207700</v>
      </c>
      <c r="X19" s="118">
        <v>2284700</v>
      </c>
      <c r="Y19" s="39"/>
      <c r="Z19" s="121">
        <v>2077000</v>
      </c>
      <c r="AA19" s="122" t="s">
        <v>407</v>
      </c>
      <c r="AB19" s="123">
        <v>62.45</v>
      </c>
      <c r="AC19" s="123">
        <v>9.65</v>
      </c>
      <c r="AD19" s="123">
        <v>113.77</v>
      </c>
      <c r="AE19" s="123">
        <v>123.42</v>
      </c>
      <c r="AF19" s="123">
        <v>185.87</v>
      </c>
    </row>
    <row r="20" spans="1:32">
      <c r="A20" s="113" t="s">
        <v>451</v>
      </c>
      <c r="B20" s="15" t="s">
        <v>370</v>
      </c>
      <c r="C20" s="124" t="s">
        <v>406</v>
      </c>
      <c r="D20" s="115">
        <v>175.53</v>
      </c>
      <c r="E20" s="17">
        <v>53.097825</v>
      </c>
      <c r="F20" s="18">
        <v>382.95</v>
      </c>
      <c r="G20" s="17">
        <v>115.84237499999999</v>
      </c>
      <c r="H20" s="45">
        <v>69.69</v>
      </c>
      <c r="I20" s="45">
        <v>21.081225</v>
      </c>
      <c r="J20" s="45">
        <v>137.72999999999999</v>
      </c>
      <c r="K20" s="45">
        <v>41.663324999999993</v>
      </c>
      <c r="L20" s="45">
        <v>207.42</v>
      </c>
      <c r="M20" s="45">
        <v>62.744549999999997</v>
      </c>
      <c r="N20" s="18">
        <v>58.04</v>
      </c>
      <c r="O20" s="17">
        <v>17.557099999999998</v>
      </c>
      <c r="P20" s="19">
        <v>20000</v>
      </c>
      <c r="Q20" s="20">
        <v>2317000</v>
      </c>
      <c r="R20" s="20">
        <v>23170000</v>
      </c>
      <c r="S20" s="19"/>
      <c r="T20" s="19"/>
      <c r="U20" s="19"/>
      <c r="V20" s="20"/>
      <c r="W20" s="117">
        <v>231700</v>
      </c>
      <c r="X20" s="118">
        <v>2548700</v>
      </c>
      <c r="Y20" s="39"/>
      <c r="Z20" s="121">
        <v>2317000</v>
      </c>
      <c r="AA20" s="122" t="s">
        <v>407</v>
      </c>
      <c r="AB20" s="123">
        <v>69.69</v>
      </c>
      <c r="AC20" s="123">
        <v>10.77</v>
      </c>
      <c r="AD20" s="123">
        <v>126.96</v>
      </c>
      <c r="AE20" s="123">
        <v>137.72999999999999</v>
      </c>
      <c r="AF20" s="123">
        <v>207.42</v>
      </c>
    </row>
    <row r="21" spans="1:32">
      <c r="A21" s="113" t="s">
        <v>452</v>
      </c>
      <c r="B21" s="15" t="s">
        <v>370</v>
      </c>
      <c r="C21" s="124" t="s">
        <v>406</v>
      </c>
      <c r="D21" s="115">
        <v>40.58</v>
      </c>
      <c r="E21" s="17">
        <v>12.275449999999999</v>
      </c>
      <c r="F21" s="18">
        <v>88.53</v>
      </c>
      <c r="G21" s="17">
        <v>26.780325000000001</v>
      </c>
      <c r="H21" s="45">
        <v>16.11</v>
      </c>
      <c r="I21" s="45">
        <v>4.8732749999999996</v>
      </c>
      <c r="J21" s="45">
        <v>31.840000000000003</v>
      </c>
      <c r="K21" s="45">
        <v>9.6316000000000006</v>
      </c>
      <c r="L21" s="45">
        <v>47.95</v>
      </c>
      <c r="M21" s="45">
        <v>14.504875</v>
      </c>
      <c r="N21" s="18">
        <v>13.42</v>
      </c>
      <c r="O21" s="17">
        <v>4.0595499999999998</v>
      </c>
      <c r="P21" s="19">
        <v>20000</v>
      </c>
      <c r="Q21" s="20">
        <v>536000</v>
      </c>
      <c r="R21" s="20">
        <v>5360000</v>
      </c>
      <c r="S21" s="19"/>
      <c r="T21" s="19"/>
      <c r="U21" s="19"/>
      <c r="V21" s="20"/>
      <c r="W21" s="117">
        <v>53600</v>
      </c>
      <c r="X21" s="118">
        <v>589600</v>
      </c>
      <c r="Y21" s="39"/>
      <c r="Z21" s="121">
        <v>536000</v>
      </c>
      <c r="AA21" s="122" t="s">
        <v>407</v>
      </c>
      <c r="AB21" s="123">
        <v>16.11</v>
      </c>
      <c r="AC21" s="123">
        <v>2.4900000000000002</v>
      </c>
      <c r="AD21" s="123">
        <v>29.35</v>
      </c>
      <c r="AE21" s="123">
        <v>31.840000000000003</v>
      </c>
      <c r="AF21" s="123">
        <v>47.95</v>
      </c>
    </row>
    <row r="22" spans="1:32">
      <c r="A22" s="113" t="s">
        <v>453</v>
      </c>
      <c r="B22" s="15" t="s">
        <v>370</v>
      </c>
      <c r="C22" s="124" t="s">
        <v>406</v>
      </c>
      <c r="D22" s="115">
        <v>54.63</v>
      </c>
      <c r="E22" s="17">
        <v>16.525575</v>
      </c>
      <c r="F22" s="18">
        <v>119.18</v>
      </c>
      <c r="G22" s="17">
        <v>36.051949999999998</v>
      </c>
      <c r="H22" s="45">
        <v>21.69</v>
      </c>
      <c r="I22" s="45">
        <v>6.5612250000000003</v>
      </c>
      <c r="J22" s="45">
        <v>42.86</v>
      </c>
      <c r="K22" s="45">
        <v>12.96515</v>
      </c>
      <c r="L22" s="45">
        <v>64.55</v>
      </c>
      <c r="M22" s="45">
        <v>19.526374999999998</v>
      </c>
      <c r="N22" s="18">
        <v>18.07</v>
      </c>
      <c r="O22" s="17">
        <v>5.4661749999999998</v>
      </c>
      <c r="P22" s="19">
        <v>20000</v>
      </c>
      <c r="Q22" s="20">
        <v>722000</v>
      </c>
      <c r="R22" s="20">
        <v>7220000</v>
      </c>
      <c r="S22" s="19"/>
      <c r="T22" s="19"/>
      <c r="U22" s="19"/>
      <c r="V22" s="20"/>
      <c r="W22" s="117">
        <v>72200</v>
      </c>
      <c r="X22" s="118">
        <v>794200</v>
      </c>
      <c r="Y22" s="39"/>
      <c r="Z22" s="121">
        <v>722000</v>
      </c>
      <c r="AA22" s="122" t="s">
        <v>407</v>
      </c>
      <c r="AB22" s="123">
        <v>21.69</v>
      </c>
      <c r="AC22" s="123">
        <v>3.35</v>
      </c>
      <c r="AD22" s="123">
        <v>39.51</v>
      </c>
      <c r="AE22" s="123">
        <v>42.86</v>
      </c>
      <c r="AF22" s="123">
        <v>64.55</v>
      </c>
    </row>
    <row r="23" spans="1:32">
      <c r="A23" s="113" t="s">
        <v>454</v>
      </c>
      <c r="B23" s="15" t="s">
        <v>370</v>
      </c>
      <c r="C23" s="124" t="s">
        <v>406</v>
      </c>
      <c r="D23" s="115">
        <v>34.520000000000003</v>
      </c>
      <c r="E23" s="17">
        <v>10.442300000000001</v>
      </c>
      <c r="F23" s="18">
        <v>75.319999999999993</v>
      </c>
      <c r="G23" s="17">
        <v>22.784299999999998</v>
      </c>
      <c r="H23" s="45">
        <v>13.71</v>
      </c>
      <c r="I23" s="45">
        <v>4.1472750000000005</v>
      </c>
      <c r="J23" s="45">
        <v>27.09</v>
      </c>
      <c r="K23" s="45">
        <v>8.194725</v>
      </c>
      <c r="L23" s="45">
        <v>40.799999999999997</v>
      </c>
      <c r="M23" s="45">
        <v>12.341999999999999</v>
      </c>
      <c r="N23" s="18">
        <v>11.42</v>
      </c>
      <c r="O23" s="17">
        <v>3.4545499999999998</v>
      </c>
      <c r="P23" s="19">
        <v>20000</v>
      </c>
      <c r="Q23" s="20">
        <v>456000</v>
      </c>
      <c r="R23" s="20">
        <v>4560000</v>
      </c>
      <c r="S23" s="19"/>
      <c r="T23" s="19"/>
      <c r="U23" s="19"/>
      <c r="V23" s="20"/>
      <c r="W23" s="117">
        <v>45600</v>
      </c>
      <c r="X23" s="118">
        <v>501600</v>
      </c>
      <c r="Y23" s="39"/>
      <c r="Z23" s="121">
        <v>456000</v>
      </c>
      <c r="AA23" s="122" t="s">
        <v>407</v>
      </c>
      <c r="AB23" s="123">
        <v>13.71</v>
      </c>
      <c r="AC23" s="123">
        <v>2.12</v>
      </c>
      <c r="AD23" s="123">
        <v>24.97</v>
      </c>
      <c r="AE23" s="123">
        <v>27.09</v>
      </c>
      <c r="AF23" s="123">
        <v>40.799999999999997</v>
      </c>
    </row>
    <row r="24" spans="1:32">
      <c r="A24" s="113" t="s">
        <v>455</v>
      </c>
      <c r="B24" s="15" t="s">
        <v>370</v>
      </c>
      <c r="C24" s="124" t="s">
        <v>406</v>
      </c>
      <c r="D24" s="115">
        <v>37.94</v>
      </c>
      <c r="E24" s="17">
        <v>11.476849999999999</v>
      </c>
      <c r="F24" s="18">
        <v>82.77</v>
      </c>
      <c r="G24" s="17">
        <v>25.037924999999998</v>
      </c>
      <c r="H24" s="45">
        <v>15.06</v>
      </c>
      <c r="I24" s="45">
        <v>4.55565</v>
      </c>
      <c r="J24" s="45">
        <v>29.770000000000003</v>
      </c>
      <c r="K24" s="45">
        <v>9.0054250000000007</v>
      </c>
      <c r="L24" s="45">
        <v>44.83</v>
      </c>
      <c r="M24" s="45">
        <v>13.561074999999999</v>
      </c>
      <c r="N24" s="18">
        <v>12.55</v>
      </c>
      <c r="O24" s="17">
        <v>3.7963750000000003</v>
      </c>
      <c r="P24" s="19">
        <v>20000</v>
      </c>
      <c r="Q24" s="20">
        <v>501000</v>
      </c>
      <c r="R24" s="20">
        <v>5010000</v>
      </c>
      <c r="S24" s="19"/>
      <c r="T24" s="19"/>
      <c r="U24" s="19"/>
      <c r="V24" s="20"/>
      <c r="W24" s="117">
        <v>50100</v>
      </c>
      <c r="X24" s="118">
        <v>551100</v>
      </c>
      <c r="Y24" s="39"/>
      <c r="Z24" s="121">
        <v>501000</v>
      </c>
      <c r="AA24" s="122" t="s">
        <v>407</v>
      </c>
      <c r="AB24" s="123">
        <v>15.06</v>
      </c>
      <c r="AC24" s="123">
        <v>2.33</v>
      </c>
      <c r="AD24" s="123">
        <v>27.44</v>
      </c>
      <c r="AE24" s="123">
        <v>29.770000000000003</v>
      </c>
      <c r="AF24" s="123">
        <v>44.83</v>
      </c>
    </row>
    <row r="25" spans="1:32">
      <c r="A25" s="113" t="s">
        <v>456</v>
      </c>
      <c r="B25" s="15" t="s">
        <v>370</v>
      </c>
      <c r="C25" s="124" t="s">
        <v>406</v>
      </c>
      <c r="D25" s="115">
        <v>46.26</v>
      </c>
      <c r="E25" s="17">
        <v>13.993649999999999</v>
      </c>
      <c r="F25" s="18">
        <v>100.93</v>
      </c>
      <c r="G25" s="17">
        <v>30.531325000000002</v>
      </c>
      <c r="H25" s="45">
        <v>18.37</v>
      </c>
      <c r="I25" s="45">
        <v>5.5569250000000006</v>
      </c>
      <c r="J25" s="45">
        <v>36.299999999999997</v>
      </c>
      <c r="K25" s="45">
        <v>10.980749999999999</v>
      </c>
      <c r="L25" s="45">
        <v>54.67</v>
      </c>
      <c r="M25" s="45">
        <v>16.537675</v>
      </c>
      <c r="N25" s="18">
        <v>15.3</v>
      </c>
      <c r="O25" s="17">
        <v>4.6282500000000004</v>
      </c>
      <c r="P25" s="19">
        <v>20000</v>
      </c>
      <c r="Q25" s="20">
        <v>611000</v>
      </c>
      <c r="R25" s="20">
        <v>6110000</v>
      </c>
      <c r="S25" s="19"/>
      <c r="T25" s="19"/>
      <c r="U25" s="19"/>
      <c r="V25" s="20"/>
      <c r="W25" s="117">
        <v>61100</v>
      </c>
      <c r="X25" s="118">
        <v>672100</v>
      </c>
      <c r="Y25" s="39"/>
      <c r="Z25" s="121">
        <v>611000</v>
      </c>
      <c r="AA25" s="122" t="s">
        <v>407</v>
      </c>
      <c r="AB25" s="123">
        <v>18.37</v>
      </c>
      <c r="AC25" s="123">
        <v>2.84</v>
      </c>
      <c r="AD25" s="123">
        <v>33.46</v>
      </c>
      <c r="AE25" s="123">
        <v>36.299999999999997</v>
      </c>
      <c r="AF25" s="123">
        <v>54.67</v>
      </c>
    </row>
    <row r="26" spans="1:32">
      <c r="A26" s="113" t="s">
        <v>457</v>
      </c>
      <c r="B26" s="15" t="s">
        <v>449</v>
      </c>
      <c r="C26" s="124" t="s">
        <v>406</v>
      </c>
      <c r="D26" s="115">
        <v>42.51</v>
      </c>
      <c r="E26" s="17">
        <v>12.859274999999998</v>
      </c>
      <c r="F26" s="18">
        <v>92.75</v>
      </c>
      <c r="G26" s="17">
        <v>28.056874999999998</v>
      </c>
      <c r="H26" s="45">
        <v>16.88</v>
      </c>
      <c r="I26" s="45">
        <v>5.1061999999999994</v>
      </c>
      <c r="J26" s="45">
        <v>33.36</v>
      </c>
      <c r="K26" s="45">
        <v>10.0914</v>
      </c>
      <c r="L26" s="45">
        <v>50.239999999999995</v>
      </c>
      <c r="M26" s="45">
        <v>15.197599999999998</v>
      </c>
      <c r="N26" s="18">
        <v>14.06</v>
      </c>
      <c r="O26" s="17">
        <v>4.2531499999999998</v>
      </c>
      <c r="P26" s="19">
        <v>20000</v>
      </c>
      <c r="Q26" s="20">
        <v>562000</v>
      </c>
      <c r="R26" s="20">
        <v>5620000</v>
      </c>
      <c r="S26" s="19"/>
      <c r="T26" s="19"/>
      <c r="U26" s="19"/>
      <c r="V26" s="20"/>
      <c r="W26" s="117">
        <v>56200</v>
      </c>
      <c r="X26" s="118">
        <v>618200</v>
      </c>
      <c r="Y26" s="39"/>
      <c r="Z26" s="121">
        <v>562000</v>
      </c>
      <c r="AA26" s="122" t="s">
        <v>407</v>
      </c>
      <c r="AB26" s="123">
        <v>16.88</v>
      </c>
      <c r="AC26" s="123">
        <v>2.61</v>
      </c>
      <c r="AD26" s="123">
        <v>30.75</v>
      </c>
      <c r="AE26" s="123">
        <v>33.36</v>
      </c>
      <c r="AF26" s="123">
        <v>50.239999999999995</v>
      </c>
    </row>
    <row r="27" spans="1:32">
      <c r="A27" s="113" t="s">
        <v>458</v>
      </c>
      <c r="B27" s="15" t="s">
        <v>370</v>
      </c>
      <c r="C27" s="124" t="s">
        <v>406</v>
      </c>
      <c r="D27" s="115">
        <v>38.06</v>
      </c>
      <c r="E27" s="17">
        <v>11.51315</v>
      </c>
      <c r="F27" s="18">
        <v>83.04</v>
      </c>
      <c r="G27" s="17">
        <v>25.119600000000002</v>
      </c>
      <c r="H27" s="45">
        <v>15.11</v>
      </c>
      <c r="I27" s="45">
        <v>4.5707749999999994</v>
      </c>
      <c r="J27" s="45">
        <v>29.87</v>
      </c>
      <c r="K27" s="45">
        <v>9.0356749999999995</v>
      </c>
      <c r="L27" s="45">
        <v>44.980000000000004</v>
      </c>
      <c r="M27" s="45">
        <v>13.606450000000001</v>
      </c>
      <c r="N27" s="18">
        <v>12.59</v>
      </c>
      <c r="O27" s="17">
        <v>3.8084750000000001</v>
      </c>
      <c r="P27" s="19">
        <v>20000</v>
      </c>
      <c r="Q27" s="20">
        <v>503000</v>
      </c>
      <c r="R27" s="20">
        <v>5030000</v>
      </c>
      <c r="S27" s="19"/>
      <c r="T27" s="19"/>
      <c r="U27" s="19"/>
      <c r="V27" s="20"/>
      <c r="W27" s="117">
        <v>50300</v>
      </c>
      <c r="X27" s="118">
        <v>553300</v>
      </c>
      <c r="Y27" s="39"/>
      <c r="Z27" s="121">
        <v>503000</v>
      </c>
      <c r="AA27" s="122" t="s">
        <v>407</v>
      </c>
      <c r="AB27" s="123">
        <v>15.11</v>
      </c>
      <c r="AC27" s="123">
        <v>2.34</v>
      </c>
      <c r="AD27" s="123">
        <v>27.53</v>
      </c>
      <c r="AE27" s="123">
        <v>29.87</v>
      </c>
      <c r="AF27" s="123">
        <v>44.980000000000004</v>
      </c>
    </row>
    <row r="28" spans="1:32">
      <c r="A28" s="113" t="s">
        <v>459</v>
      </c>
      <c r="B28" s="15" t="s">
        <v>370</v>
      </c>
      <c r="C28" s="124" t="s">
        <v>406</v>
      </c>
      <c r="D28" s="115">
        <v>37.69</v>
      </c>
      <c r="E28" s="17">
        <v>11.401224999999998</v>
      </c>
      <c r="F28" s="18">
        <v>82.22</v>
      </c>
      <c r="G28" s="17">
        <v>24.871549999999999</v>
      </c>
      <c r="H28" s="45">
        <v>14.96</v>
      </c>
      <c r="I28" s="45">
        <v>4.5254000000000003</v>
      </c>
      <c r="J28" s="45">
        <v>29.57</v>
      </c>
      <c r="K28" s="45">
        <v>8.9449249999999996</v>
      </c>
      <c r="L28" s="45">
        <v>44.53</v>
      </c>
      <c r="M28" s="45">
        <v>13.470325000000001</v>
      </c>
      <c r="N28" s="18">
        <v>12.46</v>
      </c>
      <c r="O28" s="17">
        <v>3.7691500000000002</v>
      </c>
      <c r="P28" s="19">
        <v>20000</v>
      </c>
      <c r="Q28" s="20">
        <v>498000</v>
      </c>
      <c r="R28" s="20">
        <v>4980000</v>
      </c>
      <c r="S28" s="19"/>
      <c r="T28" s="19"/>
      <c r="U28" s="19"/>
      <c r="V28" s="20"/>
      <c r="W28" s="117">
        <v>49800</v>
      </c>
      <c r="X28" s="118">
        <v>547800</v>
      </c>
      <c r="Y28" s="39"/>
      <c r="Z28" s="121">
        <v>498000</v>
      </c>
      <c r="AA28" s="122" t="s">
        <v>407</v>
      </c>
      <c r="AB28" s="123">
        <v>14.96</v>
      </c>
      <c r="AC28" s="123">
        <v>2.31</v>
      </c>
      <c r="AD28" s="123">
        <v>27.26</v>
      </c>
      <c r="AE28" s="123">
        <v>29.57</v>
      </c>
      <c r="AF28" s="123">
        <v>44.53</v>
      </c>
    </row>
    <row r="29" spans="1:32">
      <c r="A29" s="113" t="s">
        <v>460</v>
      </c>
      <c r="B29" s="15" t="s">
        <v>370</v>
      </c>
      <c r="C29" s="124" t="s">
        <v>406</v>
      </c>
      <c r="D29" s="115">
        <v>26.87</v>
      </c>
      <c r="E29" s="17">
        <v>8.1281750000000006</v>
      </c>
      <c r="F29" s="18">
        <v>58.63</v>
      </c>
      <c r="G29" s="17">
        <v>17.735575000000001</v>
      </c>
      <c r="H29" s="45">
        <v>10.67</v>
      </c>
      <c r="I29" s="45">
        <v>3.2276750000000001</v>
      </c>
      <c r="J29" s="45">
        <v>21.09</v>
      </c>
      <c r="K29" s="45">
        <v>6.3797249999999996</v>
      </c>
      <c r="L29" s="45">
        <v>31.76</v>
      </c>
      <c r="M29" s="45">
        <v>9.6074000000000002</v>
      </c>
      <c r="N29" s="18">
        <v>8.89</v>
      </c>
      <c r="O29" s="17">
        <v>2.689225</v>
      </c>
      <c r="P29" s="19">
        <v>20000</v>
      </c>
      <c r="Q29" s="20">
        <v>355000</v>
      </c>
      <c r="R29" s="20">
        <v>3550000</v>
      </c>
      <c r="S29" s="19"/>
      <c r="T29" s="19"/>
      <c r="U29" s="19"/>
      <c r="V29" s="20"/>
      <c r="W29" s="117">
        <v>35500</v>
      </c>
      <c r="X29" s="118">
        <v>390500</v>
      </c>
      <c r="Y29" s="39"/>
      <c r="Z29" s="121">
        <v>355000</v>
      </c>
      <c r="AA29" s="122" t="s">
        <v>407</v>
      </c>
      <c r="AB29" s="123">
        <v>10.67</v>
      </c>
      <c r="AC29" s="123">
        <v>1.65</v>
      </c>
      <c r="AD29" s="123">
        <v>19.440000000000001</v>
      </c>
      <c r="AE29" s="123">
        <v>21.09</v>
      </c>
      <c r="AF29" s="123">
        <v>31.76</v>
      </c>
    </row>
    <row r="30" spans="1:32" ht="13.5" customHeight="1">
      <c r="A30" s="409" t="s">
        <v>471</v>
      </c>
      <c r="B30" s="410"/>
      <c r="C30" s="125">
        <v>11</v>
      </c>
      <c r="D30" s="129">
        <v>691.88</v>
      </c>
      <c r="E30" s="134">
        <v>209.29369999999997</v>
      </c>
      <c r="F30" s="129">
        <v>1509.48</v>
      </c>
      <c r="G30" s="129">
        <v>456.6176999999999</v>
      </c>
      <c r="H30" s="129">
        <v>274.7</v>
      </c>
      <c r="I30" s="129">
        <v>83.096750000000014</v>
      </c>
      <c r="J30" s="129">
        <v>542.90000000000009</v>
      </c>
      <c r="K30" s="129">
        <v>164.22725</v>
      </c>
      <c r="L30" s="129">
        <v>817.59999999999991</v>
      </c>
      <c r="M30" s="129">
        <v>247.32400000000001</v>
      </c>
      <c r="N30" s="129">
        <v>228.81</v>
      </c>
      <c r="O30" s="129">
        <v>69.215024999999997</v>
      </c>
      <c r="P30" s="119">
        <v>20012.364829484275</v>
      </c>
      <c r="Q30" s="119">
        <v>9138000</v>
      </c>
      <c r="R30" s="119">
        <v>91380000</v>
      </c>
      <c r="S30" s="119"/>
      <c r="T30" s="119">
        <v>0</v>
      </c>
      <c r="U30" s="119">
        <v>0</v>
      </c>
      <c r="V30" s="119">
        <v>0</v>
      </c>
      <c r="W30" s="119">
        <v>913800</v>
      </c>
      <c r="X30" s="119">
        <v>10051800</v>
      </c>
      <c r="Y30" s="39"/>
      <c r="Z30" s="121"/>
      <c r="AA30" s="122"/>
      <c r="AB30" s="123"/>
      <c r="AC30" s="123"/>
      <c r="AD30" s="123"/>
      <c r="AE30" s="123"/>
      <c r="AF30" s="123"/>
    </row>
    <row r="31" spans="1:32">
      <c r="A31" s="113" t="s">
        <v>461</v>
      </c>
      <c r="B31" s="15" t="s">
        <v>370</v>
      </c>
      <c r="C31" s="124" t="s">
        <v>406</v>
      </c>
      <c r="D31" s="17">
        <v>219.39</v>
      </c>
      <c r="E31" s="17">
        <v>66.365474999999989</v>
      </c>
      <c r="F31" s="18">
        <v>478.64</v>
      </c>
      <c r="G31" s="17">
        <v>144.7886</v>
      </c>
      <c r="H31" s="45">
        <v>87.1</v>
      </c>
      <c r="I31" s="45">
        <v>26.347749999999998</v>
      </c>
      <c r="J31" s="45">
        <v>172.15</v>
      </c>
      <c r="K31" s="45">
        <v>52.075375000000001</v>
      </c>
      <c r="L31" s="45">
        <v>259.25</v>
      </c>
      <c r="M31" s="45">
        <v>78.423124999999999</v>
      </c>
      <c r="N31" s="18">
        <v>72.55</v>
      </c>
      <c r="O31" s="17">
        <v>21.946375</v>
      </c>
      <c r="P31" s="19">
        <v>20000</v>
      </c>
      <c r="Q31" s="20">
        <v>2896000</v>
      </c>
      <c r="R31" s="20">
        <v>28960000</v>
      </c>
      <c r="S31" s="19"/>
      <c r="T31" s="19"/>
      <c r="U31" s="19"/>
      <c r="V31" s="20"/>
      <c r="W31" s="117">
        <v>289600</v>
      </c>
      <c r="X31" s="118">
        <v>3185600</v>
      </c>
      <c r="Y31" s="39"/>
      <c r="Z31" s="121">
        <v>2896000</v>
      </c>
      <c r="AA31" s="122" t="s">
        <v>407</v>
      </c>
      <c r="AB31" s="123">
        <v>87.1</v>
      </c>
      <c r="AC31" s="123">
        <v>13.46</v>
      </c>
      <c r="AD31" s="123">
        <v>158.69</v>
      </c>
      <c r="AE31" s="123">
        <v>172.15</v>
      </c>
      <c r="AF31" s="123">
        <v>259.25</v>
      </c>
    </row>
    <row r="32" spans="1:32">
      <c r="A32" s="113" t="s">
        <v>462</v>
      </c>
      <c r="B32" s="15" t="s">
        <v>370</v>
      </c>
      <c r="C32" s="124" t="s">
        <v>406</v>
      </c>
      <c r="D32" s="17">
        <v>40.58</v>
      </c>
      <c r="E32" s="17">
        <v>12.275449999999999</v>
      </c>
      <c r="F32" s="18">
        <v>88.53</v>
      </c>
      <c r="G32" s="17">
        <v>26.780325000000001</v>
      </c>
      <c r="H32" s="45">
        <v>16.11</v>
      </c>
      <c r="I32" s="45">
        <v>4.8732749999999996</v>
      </c>
      <c r="J32" s="45">
        <v>31.840000000000003</v>
      </c>
      <c r="K32" s="45">
        <v>9.6316000000000006</v>
      </c>
      <c r="L32" s="45">
        <v>47.95</v>
      </c>
      <c r="M32" s="45">
        <v>14.504875</v>
      </c>
      <c r="N32" s="18">
        <v>13.42</v>
      </c>
      <c r="O32" s="17">
        <v>4.0595499999999998</v>
      </c>
      <c r="P32" s="19">
        <v>20000</v>
      </c>
      <c r="Q32" s="20">
        <v>536000</v>
      </c>
      <c r="R32" s="20">
        <v>5360000</v>
      </c>
      <c r="S32" s="19"/>
      <c r="T32" s="19"/>
      <c r="U32" s="19"/>
      <c r="V32" s="20"/>
      <c r="W32" s="117">
        <v>53600</v>
      </c>
      <c r="X32" s="118">
        <v>589600</v>
      </c>
      <c r="Y32" s="39"/>
      <c r="Z32" s="121">
        <v>536000</v>
      </c>
      <c r="AA32" s="122" t="s">
        <v>407</v>
      </c>
      <c r="AB32" s="123">
        <v>16.11</v>
      </c>
      <c r="AC32" s="123">
        <v>2.4900000000000002</v>
      </c>
      <c r="AD32" s="123">
        <v>29.35</v>
      </c>
      <c r="AE32" s="123">
        <v>31.840000000000003</v>
      </c>
      <c r="AF32" s="123">
        <v>47.95</v>
      </c>
    </row>
    <row r="33" spans="1:32">
      <c r="A33" s="113" t="s">
        <v>463</v>
      </c>
      <c r="B33" s="15" t="s">
        <v>370</v>
      </c>
      <c r="C33" s="124" t="s">
        <v>406</v>
      </c>
      <c r="D33" s="17">
        <v>43.84</v>
      </c>
      <c r="E33" s="17">
        <v>13.261600000000001</v>
      </c>
      <c r="F33" s="18">
        <v>95.65</v>
      </c>
      <c r="G33" s="17">
        <v>28.934125000000002</v>
      </c>
      <c r="H33" s="45">
        <v>17.41</v>
      </c>
      <c r="I33" s="45">
        <v>5.2665249999999997</v>
      </c>
      <c r="J33" s="45">
        <v>34.4</v>
      </c>
      <c r="K33" s="45">
        <v>10.405999999999999</v>
      </c>
      <c r="L33" s="45">
        <v>51.81</v>
      </c>
      <c r="M33" s="45">
        <v>15.672525</v>
      </c>
      <c r="N33" s="18">
        <v>14.5</v>
      </c>
      <c r="O33" s="17">
        <v>4.3862499999999995</v>
      </c>
      <c r="P33" s="19">
        <v>20000</v>
      </c>
      <c r="Q33" s="20">
        <v>579000</v>
      </c>
      <c r="R33" s="20">
        <v>5790000</v>
      </c>
      <c r="S33" s="19"/>
      <c r="T33" s="19"/>
      <c r="U33" s="19"/>
      <c r="V33" s="20"/>
      <c r="W33" s="117">
        <v>57900</v>
      </c>
      <c r="X33" s="118">
        <v>636900</v>
      </c>
      <c r="Y33" s="39"/>
      <c r="Z33" s="121">
        <v>579000</v>
      </c>
      <c r="AA33" s="122" t="s">
        <v>407</v>
      </c>
      <c r="AB33" s="123">
        <v>17.41</v>
      </c>
      <c r="AC33" s="123">
        <v>2.69</v>
      </c>
      <c r="AD33" s="123">
        <v>31.71</v>
      </c>
      <c r="AE33" s="123">
        <v>34.4</v>
      </c>
      <c r="AF33" s="123">
        <v>51.81</v>
      </c>
    </row>
    <row r="34" spans="1:32">
      <c r="A34" s="113" t="s">
        <v>464</v>
      </c>
      <c r="B34" s="15" t="s">
        <v>370</v>
      </c>
      <c r="C34" s="124" t="s">
        <v>406</v>
      </c>
      <c r="D34" s="17">
        <v>33.520000000000003</v>
      </c>
      <c r="E34" s="17">
        <v>10.139800000000001</v>
      </c>
      <c r="F34" s="18">
        <v>73.140000000000015</v>
      </c>
      <c r="G34" s="17">
        <v>22.124850000000002</v>
      </c>
      <c r="H34" s="45">
        <v>13.31</v>
      </c>
      <c r="I34" s="45">
        <v>4.026275</v>
      </c>
      <c r="J34" s="45">
        <v>26.31</v>
      </c>
      <c r="K34" s="45">
        <v>7.9587749999999993</v>
      </c>
      <c r="L34" s="45">
        <v>39.620000000000005</v>
      </c>
      <c r="M34" s="45">
        <v>11.985050000000001</v>
      </c>
      <c r="N34" s="18">
        <v>11.08</v>
      </c>
      <c r="O34" s="17">
        <v>3.3517000000000001</v>
      </c>
      <c r="P34" s="19">
        <v>20000</v>
      </c>
      <c r="Q34" s="20">
        <v>443000</v>
      </c>
      <c r="R34" s="20">
        <v>4430000</v>
      </c>
      <c r="S34" s="19"/>
      <c r="T34" s="19"/>
      <c r="U34" s="19"/>
      <c r="V34" s="20"/>
      <c r="W34" s="117">
        <v>44300</v>
      </c>
      <c r="X34" s="118">
        <v>487300</v>
      </c>
      <c r="Y34" s="39"/>
      <c r="Z34" s="121">
        <v>443000</v>
      </c>
      <c r="AA34" s="122" t="s">
        <v>407</v>
      </c>
      <c r="AB34" s="123">
        <v>13.31</v>
      </c>
      <c r="AC34" s="123">
        <v>2.06</v>
      </c>
      <c r="AD34" s="123">
        <v>24.25</v>
      </c>
      <c r="AE34" s="123">
        <v>26.31</v>
      </c>
      <c r="AF34" s="123">
        <v>39.620000000000005</v>
      </c>
    </row>
    <row r="35" spans="1:32">
      <c r="A35" s="113" t="s">
        <v>465</v>
      </c>
      <c r="B35" s="15" t="s">
        <v>370</v>
      </c>
      <c r="C35" s="124" t="s">
        <v>406</v>
      </c>
      <c r="D35" s="17">
        <v>46.26</v>
      </c>
      <c r="E35" s="17">
        <v>13.993649999999999</v>
      </c>
      <c r="F35" s="18">
        <v>100.93</v>
      </c>
      <c r="G35" s="17">
        <v>30.531325000000002</v>
      </c>
      <c r="H35" s="45">
        <v>18.37</v>
      </c>
      <c r="I35" s="45">
        <v>5.5569250000000006</v>
      </c>
      <c r="J35" s="45">
        <v>36.299999999999997</v>
      </c>
      <c r="K35" s="45">
        <v>10.980749999999999</v>
      </c>
      <c r="L35" s="45">
        <v>54.67</v>
      </c>
      <c r="M35" s="45">
        <v>16.537675</v>
      </c>
      <c r="N35" s="18">
        <v>15.3</v>
      </c>
      <c r="O35" s="17">
        <v>4.6282500000000004</v>
      </c>
      <c r="P35" s="19">
        <v>20000</v>
      </c>
      <c r="Q35" s="20">
        <v>611000</v>
      </c>
      <c r="R35" s="20">
        <v>6110000</v>
      </c>
      <c r="S35" s="19"/>
      <c r="T35" s="19"/>
      <c r="U35" s="19"/>
      <c r="V35" s="20"/>
      <c r="W35" s="117">
        <v>61100</v>
      </c>
      <c r="X35" s="118">
        <v>672100</v>
      </c>
      <c r="Y35" s="39"/>
      <c r="Z35" s="121">
        <v>611000</v>
      </c>
      <c r="AA35" s="122" t="s">
        <v>407</v>
      </c>
      <c r="AB35" s="123">
        <v>18.37</v>
      </c>
      <c r="AC35" s="123">
        <v>2.84</v>
      </c>
      <c r="AD35" s="123">
        <v>33.46</v>
      </c>
      <c r="AE35" s="123">
        <v>36.299999999999997</v>
      </c>
      <c r="AF35" s="123">
        <v>54.67</v>
      </c>
    </row>
    <row r="36" spans="1:32">
      <c r="A36" s="113" t="s">
        <v>466</v>
      </c>
      <c r="B36" s="15" t="s">
        <v>370</v>
      </c>
      <c r="C36" s="124" t="s">
        <v>406</v>
      </c>
      <c r="D36" s="17">
        <v>42.51</v>
      </c>
      <c r="E36" s="17">
        <v>12.859274999999998</v>
      </c>
      <c r="F36" s="18">
        <v>92.75</v>
      </c>
      <c r="G36" s="17">
        <v>28.056874999999998</v>
      </c>
      <c r="H36" s="45">
        <v>16.88</v>
      </c>
      <c r="I36" s="45">
        <v>5.1061999999999994</v>
      </c>
      <c r="J36" s="45">
        <v>33.36</v>
      </c>
      <c r="K36" s="45">
        <v>10.0914</v>
      </c>
      <c r="L36" s="45">
        <v>50.239999999999995</v>
      </c>
      <c r="M36" s="45">
        <v>15.197599999999998</v>
      </c>
      <c r="N36" s="18">
        <v>14.06</v>
      </c>
      <c r="O36" s="17">
        <v>4.2531499999999998</v>
      </c>
      <c r="P36" s="19">
        <v>20000</v>
      </c>
      <c r="Q36" s="20">
        <v>562000</v>
      </c>
      <c r="R36" s="20">
        <v>5620000</v>
      </c>
      <c r="S36" s="19"/>
      <c r="T36" s="19"/>
      <c r="U36" s="19"/>
      <c r="V36" s="20"/>
      <c r="W36" s="117">
        <v>56200</v>
      </c>
      <c r="X36" s="118">
        <v>618200</v>
      </c>
      <c r="Y36" s="39"/>
      <c r="Z36" s="121">
        <v>562000</v>
      </c>
      <c r="AA36" s="122" t="s">
        <v>407</v>
      </c>
      <c r="AB36" s="123">
        <v>16.88</v>
      </c>
      <c r="AC36" s="123">
        <v>2.61</v>
      </c>
      <c r="AD36" s="123">
        <v>30.75</v>
      </c>
      <c r="AE36" s="123">
        <v>33.36</v>
      </c>
      <c r="AF36" s="123">
        <v>50.239999999999995</v>
      </c>
    </row>
    <row r="37" spans="1:32">
      <c r="A37" s="113" t="s">
        <v>467</v>
      </c>
      <c r="B37" s="15" t="s">
        <v>370</v>
      </c>
      <c r="C37" s="124" t="s">
        <v>406</v>
      </c>
      <c r="D37" s="17">
        <v>24.2</v>
      </c>
      <c r="E37" s="17">
        <v>7.3205</v>
      </c>
      <c r="F37" s="18">
        <v>52.79</v>
      </c>
      <c r="G37" s="17">
        <v>15.968974999999999</v>
      </c>
      <c r="H37" s="45">
        <v>9.61</v>
      </c>
      <c r="I37" s="45">
        <v>2.9070249999999995</v>
      </c>
      <c r="J37" s="45">
        <v>18.98</v>
      </c>
      <c r="K37" s="45">
        <v>5.7414500000000004</v>
      </c>
      <c r="L37" s="45">
        <v>28.59</v>
      </c>
      <c r="M37" s="45">
        <v>8.6484749999999995</v>
      </c>
      <c r="N37" s="18">
        <v>8</v>
      </c>
      <c r="O37" s="17">
        <v>2.42</v>
      </c>
      <c r="P37" s="19">
        <v>20000</v>
      </c>
      <c r="Q37" s="20">
        <v>320000</v>
      </c>
      <c r="R37" s="20">
        <v>3200000</v>
      </c>
      <c r="S37" s="19"/>
      <c r="T37" s="19"/>
      <c r="U37" s="19"/>
      <c r="V37" s="20"/>
      <c r="W37" s="117">
        <v>32000</v>
      </c>
      <c r="X37" s="118">
        <v>352000</v>
      </c>
      <c r="Y37" s="39"/>
      <c r="Z37" s="121">
        <v>320000</v>
      </c>
      <c r="AA37" s="122" t="s">
        <v>407</v>
      </c>
      <c r="AB37" s="123">
        <v>9.61</v>
      </c>
      <c r="AC37" s="123">
        <v>1.48</v>
      </c>
      <c r="AD37" s="123">
        <v>17.5</v>
      </c>
      <c r="AE37" s="123">
        <v>18.98</v>
      </c>
      <c r="AF37" s="123">
        <v>28.59</v>
      </c>
    </row>
    <row r="38" spans="1:32">
      <c r="A38" s="113" t="s">
        <v>468</v>
      </c>
      <c r="B38" s="15" t="s">
        <v>370</v>
      </c>
      <c r="C38" s="124" t="s">
        <v>406</v>
      </c>
      <c r="D38" s="17">
        <v>31.21</v>
      </c>
      <c r="E38" s="17">
        <v>9.4410249999999998</v>
      </c>
      <c r="F38" s="18">
        <v>68.080000000000013</v>
      </c>
      <c r="G38" s="17">
        <v>20.594200000000004</v>
      </c>
      <c r="H38" s="45">
        <v>12.39</v>
      </c>
      <c r="I38" s="45">
        <v>3.7479750000000003</v>
      </c>
      <c r="J38" s="45">
        <v>24.48</v>
      </c>
      <c r="K38" s="45">
        <v>7.4051999999999998</v>
      </c>
      <c r="L38" s="45">
        <v>36.870000000000005</v>
      </c>
      <c r="M38" s="45">
        <v>11.153175000000001</v>
      </c>
      <c r="N38" s="18">
        <v>10.32</v>
      </c>
      <c r="O38" s="17">
        <v>3.1217999999999999</v>
      </c>
      <c r="P38" s="19">
        <v>20000</v>
      </c>
      <c r="Q38" s="20">
        <v>412000</v>
      </c>
      <c r="R38" s="20">
        <v>4120000</v>
      </c>
      <c r="S38" s="19"/>
      <c r="T38" s="19"/>
      <c r="U38" s="19"/>
      <c r="V38" s="20"/>
      <c r="W38" s="117">
        <v>41200</v>
      </c>
      <c r="X38" s="118">
        <v>453200</v>
      </c>
      <c r="Y38" s="39"/>
      <c r="Z38" s="121">
        <v>412000</v>
      </c>
      <c r="AA38" s="122" t="s">
        <v>407</v>
      </c>
      <c r="AB38" s="123">
        <v>12.39</v>
      </c>
      <c r="AC38" s="123">
        <v>1.91</v>
      </c>
      <c r="AD38" s="123">
        <v>22.57</v>
      </c>
      <c r="AE38" s="123">
        <v>24.48</v>
      </c>
      <c r="AF38" s="123">
        <v>36.870000000000005</v>
      </c>
    </row>
    <row r="39" spans="1:32">
      <c r="A39" s="113" t="s">
        <v>469</v>
      </c>
      <c r="B39" s="15" t="s">
        <v>370</v>
      </c>
      <c r="C39" s="124" t="s">
        <v>406</v>
      </c>
      <c r="D39" s="17">
        <v>26.87</v>
      </c>
      <c r="E39" s="17">
        <v>8.1281750000000006</v>
      </c>
      <c r="F39" s="18">
        <v>58.63</v>
      </c>
      <c r="G39" s="17">
        <v>17.735575000000001</v>
      </c>
      <c r="H39" s="45">
        <v>10.67</v>
      </c>
      <c r="I39" s="45">
        <v>3.2276750000000001</v>
      </c>
      <c r="J39" s="45">
        <v>21.09</v>
      </c>
      <c r="K39" s="45">
        <v>6.3797249999999996</v>
      </c>
      <c r="L39" s="45">
        <v>31.76</v>
      </c>
      <c r="M39" s="45">
        <v>9.6074000000000002</v>
      </c>
      <c r="N39" s="18">
        <v>8.89</v>
      </c>
      <c r="O39" s="17">
        <v>2.689225</v>
      </c>
      <c r="P39" s="19">
        <v>20000</v>
      </c>
      <c r="Q39" s="20">
        <v>355000</v>
      </c>
      <c r="R39" s="20">
        <v>3550000</v>
      </c>
      <c r="S39" s="19"/>
      <c r="T39" s="19"/>
      <c r="U39" s="19"/>
      <c r="V39" s="20"/>
      <c r="W39" s="117">
        <v>35500</v>
      </c>
      <c r="X39" s="118">
        <v>390500</v>
      </c>
      <c r="Y39" s="39"/>
      <c r="Z39" s="121">
        <v>355000</v>
      </c>
      <c r="AA39" s="122" t="s">
        <v>407</v>
      </c>
      <c r="AB39" s="123">
        <v>10.67</v>
      </c>
      <c r="AC39" s="123">
        <v>1.65</v>
      </c>
      <c r="AD39" s="123">
        <v>19.440000000000001</v>
      </c>
      <c r="AE39" s="123">
        <v>21.09</v>
      </c>
      <c r="AF39" s="123">
        <v>31.76</v>
      </c>
    </row>
    <row r="40" spans="1:32" ht="13.5" customHeight="1">
      <c r="A40" s="409" t="s">
        <v>472</v>
      </c>
      <c r="B40" s="410"/>
      <c r="C40" s="125">
        <v>9</v>
      </c>
      <c r="D40" s="129">
        <v>508.37999999999988</v>
      </c>
      <c r="E40" s="134">
        <v>153.78494999999998</v>
      </c>
      <c r="F40" s="129">
        <v>1109.1399999999999</v>
      </c>
      <c r="G40" s="129">
        <v>335.51485000000002</v>
      </c>
      <c r="H40" s="129">
        <v>201.84999999999994</v>
      </c>
      <c r="I40" s="129">
        <v>61.05962499999999</v>
      </c>
      <c r="J40" s="129">
        <v>398.91</v>
      </c>
      <c r="K40" s="129">
        <v>120.67027499999999</v>
      </c>
      <c r="L40" s="129">
        <v>600.76</v>
      </c>
      <c r="M40" s="129">
        <v>181.72990000000001</v>
      </c>
      <c r="N40" s="129">
        <v>168.12</v>
      </c>
      <c r="O40" s="129">
        <v>50.856299999999997</v>
      </c>
      <c r="P40" s="119">
        <v>20011.036769311402</v>
      </c>
      <c r="Q40" s="119">
        <v>6714000</v>
      </c>
      <c r="R40" s="119">
        <v>67140000</v>
      </c>
      <c r="S40" s="119"/>
      <c r="T40" s="119">
        <v>0</v>
      </c>
      <c r="U40" s="119">
        <v>0</v>
      </c>
      <c r="V40" s="119">
        <v>0</v>
      </c>
      <c r="W40" s="119">
        <v>671400</v>
      </c>
      <c r="X40" s="119">
        <v>7385400</v>
      </c>
      <c r="Y40" s="39"/>
      <c r="Z40" s="25"/>
      <c r="AA40" s="122"/>
      <c r="AB40" s="123"/>
      <c r="AC40" s="123"/>
      <c r="AD40" s="123"/>
      <c r="AE40" s="123"/>
      <c r="AF40" s="123"/>
    </row>
    <row r="41" spans="1:32">
      <c r="A41" s="14" t="s">
        <v>369</v>
      </c>
      <c r="B41" s="113" t="s">
        <v>370</v>
      </c>
      <c r="C41" s="124" t="s">
        <v>406</v>
      </c>
      <c r="D41" s="17">
        <v>141.13999999999999</v>
      </c>
      <c r="E41" s="17">
        <v>42.694849999999995</v>
      </c>
      <c r="F41" s="18">
        <v>307.93</v>
      </c>
      <c r="G41" s="17">
        <v>93.148825000000002</v>
      </c>
      <c r="H41" s="45">
        <v>56.04</v>
      </c>
      <c r="I41" s="45">
        <v>16.952099999999998</v>
      </c>
      <c r="J41" s="45">
        <v>110.75</v>
      </c>
      <c r="K41" s="45">
        <v>33.501874999999998</v>
      </c>
      <c r="L41" s="45">
        <v>166.79000000000002</v>
      </c>
      <c r="M41" s="45">
        <v>50.453975000000007</v>
      </c>
      <c r="N41" s="18">
        <v>46.67</v>
      </c>
      <c r="O41" s="17">
        <v>14.117675</v>
      </c>
      <c r="P41" s="19">
        <v>26000</v>
      </c>
      <c r="Q41" s="20">
        <v>2422000</v>
      </c>
      <c r="R41" s="20">
        <v>24220000</v>
      </c>
      <c r="S41" s="19"/>
      <c r="T41" s="19"/>
      <c r="U41" s="19"/>
      <c r="V41" s="20"/>
      <c r="W41" s="38">
        <v>242200</v>
      </c>
      <c r="X41" s="40">
        <v>2664200</v>
      </c>
      <c r="Y41" s="39"/>
      <c r="Z41" s="25">
        <v>2422000</v>
      </c>
      <c r="AA41" s="13" t="s">
        <v>407</v>
      </c>
      <c r="AB41" s="42">
        <v>56.04</v>
      </c>
      <c r="AC41" s="42">
        <v>8.66</v>
      </c>
      <c r="AD41" s="42">
        <v>102.09</v>
      </c>
      <c r="AE41" s="42">
        <v>110.75</v>
      </c>
      <c r="AF41" s="42">
        <v>166.79000000000002</v>
      </c>
    </row>
    <row r="42" spans="1:32">
      <c r="A42" s="14" t="s">
        <v>371</v>
      </c>
      <c r="B42" s="113" t="s">
        <v>370</v>
      </c>
      <c r="C42" s="124" t="s">
        <v>406</v>
      </c>
      <c r="D42" s="17">
        <v>135.19</v>
      </c>
      <c r="E42" s="17">
        <v>40.894974999999995</v>
      </c>
      <c r="F42" s="18">
        <v>294.93</v>
      </c>
      <c r="G42" s="17">
        <v>89.216324999999998</v>
      </c>
      <c r="H42" s="45">
        <v>53.67</v>
      </c>
      <c r="I42" s="45">
        <v>16.235175000000002</v>
      </c>
      <c r="J42" s="45">
        <v>106.07</v>
      </c>
      <c r="K42" s="45">
        <v>32.086174999999997</v>
      </c>
      <c r="L42" s="45">
        <v>159.74</v>
      </c>
      <c r="M42" s="45">
        <v>48.321350000000002</v>
      </c>
      <c r="N42" s="18">
        <v>44.7</v>
      </c>
      <c r="O42" s="17">
        <v>13.521750000000001</v>
      </c>
      <c r="P42" s="19">
        <v>26000</v>
      </c>
      <c r="Q42" s="20">
        <v>2320000</v>
      </c>
      <c r="R42" s="20">
        <v>23200000</v>
      </c>
      <c r="S42" s="19"/>
      <c r="T42" s="19"/>
      <c r="U42" s="19"/>
      <c r="V42" s="20"/>
      <c r="W42" s="38">
        <v>232000</v>
      </c>
      <c r="X42" s="40">
        <v>2552000</v>
      </c>
      <c r="Y42" s="39"/>
      <c r="Z42" s="25">
        <v>2320000</v>
      </c>
      <c r="AA42" s="13" t="s">
        <v>407</v>
      </c>
      <c r="AB42" s="42">
        <v>53.67</v>
      </c>
      <c r="AC42" s="42">
        <v>8.2899999999999991</v>
      </c>
      <c r="AD42" s="42">
        <v>97.78</v>
      </c>
      <c r="AE42" s="42">
        <v>106.07</v>
      </c>
      <c r="AF42" s="42">
        <v>159.74</v>
      </c>
    </row>
    <row r="43" spans="1:32" ht="13.5" customHeight="1">
      <c r="A43" s="14" t="s">
        <v>372</v>
      </c>
      <c r="B43" s="16" t="s">
        <v>436</v>
      </c>
      <c r="C43" s="124" t="s">
        <v>406</v>
      </c>
      <c r="D43" s="17">
        <v>216.53</v>
      </c>
      <c r="E43" s="17">
        <v>65.500325000000004</v>
      </c>
      <c r="F43" s="18">
        <v>472.40999999999997</v>
      </c>
      <c r="G43" s="17">
        <v>142.90402499999999</v>
      </c>
      <c r="H43" s="45">
        <v>85.97</v>
      </c>
      <c r="I43" s="45">
        <v>26.005924999999998</v>
      </c>
      <c r="J43" s="45">
        <v>169.91</v>
      </c>
      <c r="K43" s="45">
        <v>51.397774999999996</v>
      </c>
      <c r="L43" s="45">
        <v>255.88</v>
      </c>
      <c r="M43" s="45">
        <v>77.403700000000001</v>
      </c>
      <c r="N43" s="18">
        <v>71.599999999999994</v>
      </c>
      <c r="O43" s="17">
        <v>21.658999999999999</v>
      </c>
      <c r="P43" s="19">
        <v>27944</v>
      </c>
      <c r="Q43" s="20">
        <v>3993000</v>
      </c>
      <c r="R43" s="20">
        <v>39930000</v>
      </c>
      <c r="S43" s="19"/>
      <c r="T43" s="19"/>
      <c r="U43" s="19"/>
      <c r="V43" s="20"/>
      <c r="W43" s="38">
        <v>399300</v>
      </c>
      <c r="X43" s="40">
        <v>4392300</v>
      </c>
      <c r="Y43" s="39"/>
      <c r="Z43" s="25">
        <v>3993000</v>
      </c>
      <c r="AA43" s="13" t="s">
        <v>407</v>
      </c>
      <c r="AB43" s="42">
        <v>85.97</v>
      </c>
      <c r="AC43" s="42">
        <v>13.29</v>
      </c>
      <c r="AD43" s="42">
        <v>156.62</v>
      </c>
      <c r="AE43" s="42">
        <v>169.91</v>
      </c>
      <c r="AF43" s="42">
        <v>255.88</v>
      </c>
    </row>
    <row r="44" spans="1:32" ht="13.5" customHeight="1">
      <c r="A44" s="14" t="s">
        <v>373</v>
      </c>
      <c r="B44" s="60" t="s">
        <v>436</v>
      </c>
      <c r="C44" s="124" t="s">
        <v>406</v>
      </c>
      <c r="D44" s="17">
        <v>64.83</v>
      </c>
      <c r="E44" s="17">
        <v>19.611075</v>
      </c>
      <c r="F44" s="18">
        <v>141.44</v>
      </c>
      <c r="G44" s="17">
        <v>42.785599999999995</v>
      </c>
      <c r="H44" s="45">
        <v>25.74</v>
      </c>
      <c r="I44" s="45">
        <v>7.7863499999999997</v>
      </c>
      <c r="J44" s="45">
        <v>50.87</v>
      </c>
      <c r="K44" s="45">
        <v>15.388174999999999</v>
      </c>
      <c r="L44" s="45">
        <v>76.61</v>
      </c>
      <c r="M44" s="45">
        <v>23.174524999999999</v>
      </c>
      <c r="N44" s="18">
        <v>21.44</v>
      </c>
      <c r="O44" s="17">
        <v>6.4855999999999998</v>
      </c>
      <c r="P44" s="19">
        <v>26995.063759769644</v>
      </c>
      <c r="Q44" s="20">
        <v>1155000</v>
      </c>
      <c r="R44" s="20">
        <v>11550000</v>
      </c>
      <c r="S44" s="19"/>
      <c r="T44" s="19"/>
      <c r="U44" s="19"/>
      <c r="V44" s="20"/>
      <c r="W44" s="38">
        <v>115500</v>
      </c>
      <c r="X44" s="40">
        <v>1270500</v>
      </c>
      <c r="Y44" s="39"/>
      <c r="Z44" s="25">
        <v>1155000</v>
      </c>
      <c r="AA44" s="13" t="s">
        <v>362</v>
      </c>
      <c r="AB44" s="42">
        <v>25.74</v>
      </c>
      <c r="AC44" s="42">
        <v>3.98</v>
      </c>
      <c r="AD44" s="42">
        <v>46.89</v>
      </c>
      <c r="AE44" s="42">
        <v>50.87</v>
      </c>
      <c r="AF44" s="42">
        <v>76.61</v>
      </c>
    </row>
    <row r="45" spans="1:32" s="72" customFormat="1" ht="13.5" customHeight="1">
      <c r="A45" s="58" t="s">
        <v>374</v>
      </c>
      <c r="B45" s="60" t="s">
        <v>436</v>
      </c>
      <c r="C45" s="124" t="s">
        <v>406</v>
      </c>
      <c r="D45" s="61">
        <v>75.459999999999994</v>
      </c>
      <c r="E45" s="17">
        <v>22.826649999999997</v>
      </c>
      <c r="F45" s="62">
        <v>164.63</v>
      </c>
      <c r="G45" s="61">
        <v>49.800574999999995</v>
      </c>
      <c r="H45" s="63">
        <v>29.96</v>
      </c>
      <c r="I45" s="63">
        <v>9.0629000000000008</v>
      </c>
      <c r="J45" s="63">
        <v>59.21</v>
      </c>
      <c r="K45" s="63">
        <v>17.911024999999999</v>
      </c>
      <c r="L45" s="63">
        <v>89.17</v>
      </c>
      <c r="M45" s="63">
        <v>26.973925000000001</v>
      </c>
      <c r="N45" s="62">
        <v>24.95</v>
      </c>
      <c r="O45" s="61">
        <v>7.5473749999999997</v>
      </c>
      <c r="P45" s="64">
        <v>27978</v>
      </c>
      <c r="Q45" s="65">
        <v>1393000</v>
      </c>
      <c r="R45" s="65">
        <v>13930000</v>
      </c>
      <c r="S45" s="64"/>
      <c r="T45" s="64"/>
      <c r="U45" s="64"/>
      <c r="V45" s="65"/>
      <c r="W45" s="66">
        <v>139300</v>
      </c>
      <c r="X45" s="67">
        <v>1532300</v>
      </c>
      <c r="Y45" s="68"/>
      <c r="Z45" s="69">
        <v>1393000</v>
      </c>
      <c r="AA45" s="70" t="s">
        <v>362</v>
      </c>
      <c r="AB45" s="71">
        <v>29.96</v>
      </c>
      <c r="AC45" s="71">
        <v>4.63</v>
      </c>
      <c r="AD45" s="71">
        <v>54.58</v>
      </c>
      <c r="AE45" s="71">
        <v>59.21</v>
      </c>
      <c r="AF45" s="71">
        <v>89.17</v>
      </c>
    </row>
    <row r="46" spans="1:32" s="72" customFormat="1" ht="13.5" customHeight="1">
      <c r="A46" s="58" t="s">
        <v>375</v>
      </c>
      <c r="B46" s="60" t="s">
        <v>436</v>
      </c>
      <c r="C46" s="124" t="s">
        <v>406</v>
      </c>
      <c r="D46" s="61">
        <v>115.13</v>
      </c>
      <c r="E46" s="17">
        <v>34.826824999999999</v>
      </c>
      <c r="F46" s="62">
        <v>251.18</v>
      </c>
      <c r="G46" s="61">
        <v>75.981949999999998</v>
      </c>
      <c r="H46" s="63">
        <v>45.71</v>
      </c>
      <c r="I46" s="63">
        <v>13.827275</v>
      </c>
      <c r="J46" s="63">
        <v>90.34</v>
      </c>
      <c r="K46" s="63">
        <v>27.327850000000002</v>
      </c>
      <c r="L46" s="63">
        <v>136.05000000000001</v>
      </c>
      <c r="M46" s="63">
        <v>41.155125000000005</v>
      </c>
      <c r="N46" s="62">
        <v>38.07</v>
      </c>
      <c r="O46" s="61">
        <v>11.516175</v>
      </c>
      <c r="P46" s="64">
        <v>27945</v>
      </c>
      <c r="Q46" s="65">
        <v>2123000</v>
      </c>
      <c r="R46" s="65">
        <v>21230000</v>
      </c>
      <c r="S46" s="64"/>
      <c r="T46" s="64"/>
      <c r="U46" s="64"/>
      <c r="V46" s="65"/>
      <c r="W46" s="66">
        <v>212300</v>
      </c>
      <c r="X46" s="67">
        <v>2335300</v>
      </c>
      <c r="Y46" s="68"/>
      <c r="Z46" s="69">
        <v>2123000</v>
      </c>
      <c r="AA46" s="70" t="s">
        <v>362</v>
      </c>
      <c r="AB46" s="71">
        <v>45.71</v>
      </c>
      <c r="AC46" s="71">
        <v>7.06</v>
      </c>
      <c r="AD46" s="71">
        <v>83.28</v>
      </c>
      <c r="AE46" s="71">
        <v>90.34</v>
      </c>
      <c r="AF46" s="71">
        <v>136.05000000000001</v>
      </c>
    </row>
    <row r="47" spans="1:32" s="72" customFormat="1" ht="13.5" customHeight="1">
      <c r="A47" s="58" t="s">
        <v>376</v>
      </c>
      <c r="B47" s="60" t="s">
        <v>436</v>
      </c>
      <c r="C47" s="124" t="s">
        <v>406</v>
      </c>
      <c r="D47" s="61">
        <v>159.1</v>
      </c>
      <c r="E47" s="17">
        <v>48.127749999999999</v>
      </c>
      <c r="F47" s="62">
        <v>347.11</v>
      </c>
      <c r="G47" s="61">
        <v>105.000775</v>
      </c>
      <c r="H47" s="63">
        <v>63.17</v>
      </c>
      <c r="I47" s="63">
        <v>19.108924999999999</v>
      </c>
      <c r="J47" s="63">
        <v>124.84</v>
      </c>
      <c r="K47" s="63">
        <v>37.764099999999999</v>
      </c>
      <c r="L47" s="63">
        <v>188.01</v>
      </c>
      <c r="M47" s="63">
        <v>56.873024999999998</v>
      </c>
      <c r="N47" s="62">
        <v>52.61</v>
      </c>
      <c r="O47" s="61">
        <v>15.914524999999999</v>
      </c>
      <c r="P47" s="64">
        <v>26009</v>
      </c>
      <c r="Q47" s="65">
        <v>2731000</v>
      </c>
      <c r="R47" s="65">
        <v>27310000</v>
      </c>
      <c r="S47" s="64"/>
      <c r="T47" s="64"/>
      <c r="U47" s="64"/>
      <c r="V47" s="65"/>
      <c r="W47" s="66">
        <v>273100</v>
      </c>
      <c r="X47" s="67">
        <v>3004100</v>
      </c>
      <c r="Y47" s="68"/>
      <c r="Z47" s="69">
        <v>2731000</v>
      </c>
      <c r="AA47" s="70" t="s">
        <v>407</v>
      </c>
      <c r="AB47" s="71">
        <v>63.17</v>
      </c>
      <c r="AC47" s="71">
        <v>9.76</v>
      </c>
      <c r="AD47" s="71">
        <v>115.08</v>
      </c>
      <c r="AE47" s="71">
        <v>124.84</v>
      </c>
      <c r="AF47" s="71">
        <v>188.01</v>
      </c>
    </row>
    <row r="48" spans="1:32" s="72" customFormat="1" ht="13.5" customHeight="1">
      <c r="A48" s="58" t="s">
        <v>377</v>
      </c>
      <c r="B48" s="60" t="s">
        <v>436</v>
      </c>
      <c r="C48" s="124" t="s">
        <v>406</v>
      </c>
      <c r="D48" s="61">
        <v>135.32</v>
      </c>
      <c r="E48" s="17">
        <v>40.934299999999993</v>
      </c>
      <c r="F48" s="62">
        <v>295.23</v>
      </c>
      <c r="G48" s="61">
        <v>89.307074999999998</v>
      </c>
      <c r="H48" s="63">
        <v>53.73</v>
      </c>
      <c r="I48" s="63">
        <v>16.253325</v>
      </c>
      <c r="J48" s="63">
        <v>106.17999999999999</v>
      </c>
      <c r="K48" s="63">
        <v>32.119449999999993</v>
      </c>
      <c r="L48" s="63">
        <v>159.91</v>
      </c>
      <c r="M48" s="63">
        <v>48.372774999999997</v>
      </c>
      <c r="N48" s="62">
        <v>44.75</v>
      </c>
      <c r="O48" s="61">
        <v>13.536875</v>
      </c>
      <c r="P48" s="64">
        <v>26000</v>
      </c>
      <c r="Q48" s="65">
        <v>2322000</v>
      </c>
      <c r="R48" s="65">
        <v>23220000</v>
      </c>
      <c r="S48" s="64"/>
      <c r="T48" s="64"/>
      <c r="U48" s="64"/>
      <c r="V48" s="65"/>
      <c r="W48" s="66">
        <v>232200</v>
      </c>
      <c r="X48" s="67">
        <v>2554200</v>
      </c>
      <c r="Y48" s="68"/>
      <c r="Z48" s="69">
        <v>2322000</v>
      </c>
      <c r="AA48" s="70" t="s">
        <v>407</v>
      </c>
      <c r="AB48" s="71">
        <v>53.73</v>
      </c>
      <c r="AC48" s="71">
        <v>8.3000000000000007</v>
      </c>
      <c r="AD48" s="71">
        <v>97.88</v>
      </c>
      <c r="AE48" s="71">
        <v>106.17999999999999</v>
      </c>
      <c r="AF48" s="71">
        <v>159.91</v>
      </c>
    </row>
    <row r="49" spans="1:32" s="72" customFormat="1">
      <c r="A49" s="58" t="s">
        <v>378</v>
      </c>
      <c r="B49" s="59" t="s">
        <v>370</v>
      </c>
      <c r="C49" s="124" t="s">
        <v>406</v>
      </c>
      <c r="D49" s="61">
        <v>174.83</v>
      </c>
      <c r="E49" s="17">
        <v>52.886075000000005</v>
      </c>
      <c r="F49" s="62">
        <v>381.43</v>
      </c>
      <c r="G49" s="61">
        <v>115.382575</v>
      </c>
      <c r="H49" s="63">
        <v>69.41</v>
      </c>
      <c r="I49" s="63">
        <v>20.996524999999998</v>
      </c>
      <c r="J49" s="63">
        <v>137.19</v>
      </c>
      <c r="K49" s="63">
        <v>41.499974999999999</v>
      </c>
      <c r="L49" s="63">
        <v>206.6</v>
      </c>
      <c r="M49" s="63">
        <v>62.496499999999997</v>
      </c>
      <c r="N49" s="62">
        <v>57.81</v>
      </c>
      <c r="O49" s="61">
        <v>17.487525000000002</v>
      </c>
      <c r="P49" s="64">
        <v>26000</v>
      </c>
      <c r="Q49" s="65">
        <v>3000000</v>
      </c>
      <c r="R49" s="65">
        <v>30000000</v>
      </c>
      <c r="S49" s="64"/>
      <c r="T49" s="64"/>
      <c r="U49" s="64"/>
      <c r="V49" s="65"/>
      <c r="W49" s="66">
        <v>300000</v>
      </c>
      <c r="X49" s="67">
        <v>3300000</v>
      </c>
      <c r="Y49" s="68"/>
      <c r="Z49" s="69">
        <v>3000000</v>
      </c>
      <c r="AA49" s="70" t="s">
        <v>407</v>
      </c>
      <c r="AB49" s="71">
        <v>69.41</v>
      </c>
      <c r="AC49" s="71">
        <v>10.73</v>
      </c>
      <c r="AD49" s="71">
        <v>126.46</v>
      </c>
      <c r="AE49" s="71">
        <v>137.19</v>
      </c>
      <c r="AF49" s="71">
        <v>206.6</v>
      </c>
    </row>
    <row r="50" spans="1:32">
      <c r="A50" s="14" t="s">
        <v>379</v>
      </c>
      <c r="B50" s="15" t="s">
        <v>370</v>
      </c>
      <c r="C50" s="124" t="s">
        <v>406</v>
      </c>
      <c r="D50" s="17">
        <v>134.05000000000001</v>
      </c>
      <c r="E50" s="17">
        <v>40.550125000000001</v>
      </c>
      <c r="F50" s="18">
        <v>292.45</v>
      </c>
      <c r="G50" s="17">
        <v>88.466124999999991</v>
      </c>
      <c r="H50" s="45">
        <v>53.22</v>
      </c>
      <c r="I50" s="45">
        <v>16.099049999999998</v>
      </c>
      <c r="J50" s="45">
        <v>105.17999999999999</v>
      </c>
      <c r="K50" s="45">
        <v>31.816949999999999</v>
      </c>
      <c r="L50" s="45">
        <v>158.39999999999998</v>
      </c>
      <c r="M50" s="45">
        <v>47.91599999999999</v>
      </c>
      <c r="N50" s="18">
        <v>44.33</v>
      </c>
      <c r="O50" s="17">
        <v>13.409825</v>
      </c>
      <c r="P50" s="19">
        <v>26000</v>
      </c>
      <c r="Q50" s="20">
        <v>2301000</v>
      </c>
      <c r="R50" s="20">
        <v>23010000</v>
      </c>
      <c r="S50" s="19"/>
      <c r="T50" s="19"/>
      <c r="U50" s="19"/>
      <c r="V50" s="20"/>
      <c r="W50" s="38">
        <v>230100</v>
      </c>
      <c r="X50" s="40">
        <v>2531100</v>
      </c>
      <c r="Y50" s="39"/>
      <c r="Z50" s="25">
        <v>2301000</v>
      </c>
      <c r="AA50" s="13" t="s">
        <v>407</v>
      </c>
      <c r="AB50" s="42">
        <v>53.22</v>
      </c>
      <c r="AC50" s="42">
        <v>8.2200000000000006</v>
      </c>
      <c r="AD50" s="42">
        <v>96.96</v>
      </c>
      <c r="AE50" s="42">
        <v>105.17999999999999</v>
      </c>
      <c r="AF50" s="42">
        <v>158.39999999999998</v>
      </c>
    </row>
    <row r="51" spans="1:32">
      <c r="A51" s="14" t="s">
        <v>380</v>
      </c>
      <c r="B51" s="15" t="s">
        <v>370</v>
      </c>
      <c r="C51" s="124" t="s">
        <v>406</v>
      </c>
      <c r="D51" s="17">
        <v>123.91</v>
      </c>
      <c r="E51" s="17">
        <v>37.482774999999997</v>
      </c>
      <c r="F51" s="18">
        <v>270.34000000000003</v>
      </c>
      <c r="G51" s="17">
        <v>81.777850000000001</v>
      </c>
      <c r="H51" s="45">
        <v>49.2</v>
      </c>
      <c r="I51" s="45">
        <v>14.883000000000001</v>
      </c>
      <c r="J51" s="45">
        <v>97.22999999999999</v>
      </c>
      <c r="K51" s="45">
        <v>29.412074999999994</v>
      </c>
      <c r="L51" s="45">
        <v>146.43</v>
      </c>
      <c r="M51" s="45">
        <v>44.295075000000004</v>
      </c>
      <c r="N51" s="18">
        <v>40.97</v>
      </c>
      <c r="O51" s="17">
        <v>12.393424999999999</v>
      </c>
      <c r="P51" s="19">
        <v>26000</v>
      </c>
      <c r="Q51" s="20">
        <v>2127000</v>
      </c>
      <c r="R51" s="20">
        <v>21270000</v>
      </c>
      <c r="S51" s="19"/>
      <c r="T51" s="19"/>
      <c r="U51" s="19"/>
      <c r="V51" s="20"/>
      <c r="W51" s="38">
        <v>212700</v>
      </c>
      <c r="X51" s="40">
        <v>2339700</v>
      </c>
      <c r="Y51" s="39"/>
      <c r="Z51" s="25">
        <v>2127000</v>
      </c>
      <c r="AA51" s="13" t="s">
        <v>407</v>
      </c>
      <c r="AB51" s="42">
        <v>49.2</v>
      </c>
      <c r="AC51" s="42">
        <v>7.6</v>
      </c>
      <c r="AD51" s="42">
        <v>89.63</v>
      </c>
      <c r="AE51" s="42">
        <v>97.22999999999999</v>
      </c>
      <c r="AF51" s="42">
        <v>146.43</v>
      </c>
    </row>
    <row r="52" spans="1:32">
      <c r="A52" s="14" t="s">
        <v>381</v>
      </c>
      <c r="B52" s="130" t="s">
        <v>473</v>
      </c>
      <c r="C52" s="124" t="s">
        <v>406</v>
      </c>
      <c r="D52" s="17">
        <v>56.44</v>
      </c>
      <c r="E52" s="17">
        <v>17.0731</v>
      </c>
      <c r="F52" s="18">
        <v>123.13</v>
      </c>
      <c r="G52" s="17">
        <v>37.246824999999994</v>
      </c>
      <c r="H52" s="45">
        <v>22.41</v>
      </c>
      <c r="I52" s="45">
        <v>6.7790249999999999</v>
      </c>
      <c r="J52" s="45">
        <v>44.28</v>
      </c>
      <c r="K52" s="45">
        <v>13.3947</v>
      </c>
      <c r="L52" s="45">
        <v>66.69</v>
      </c>
      <c r="M52" s="45">
        <v>20.173724999999997</v>
      </c>
      <c r="N52" s="18">
        <v>18.66</v>
      </c>
      <c r="O52" s="17">
        <v>5.6446499999999995</v>
      </c>
      <c r="P52" s="19">
        <v>26982.165593980164</v>
      </c>
      <c r="Q52" s="20">
        <v>1005000</v>
      </c>
      <c r="R52" s="20">
        <v>10050000</v>
      </c>
      <c r="S52" s="19"/>
      <c r="T52" s="19"/>
      <c r="U52" s="19"/>
      <c r="V52" s="20"/>
      <c r="W52" s="38">
        <v>100500</v>
      </c>
      <c r="X52" s="40">
        <v>1105500</v>
      </c>
      <c r="Y52" s="39"/>
      <c r="Z52" s="25">
        <v>1005000</v>
      </c>
      <c r="AA52" s="13" t="s">
        <v>362</v>
      </c>
      <c r="AB52" s="42">
        <v>22.41</v>
      </c>
      <c r="AC52" s="42">
        <v>3.46</v>
      </c>
      <c r="AD52" s="42">
        <v>40.82</v>
      </c>
      <c r="AE52" s="42">
        <v>44.28</v>
      </c>
      <c r="AF52" s="42">
        <v>66.69</v>
      </c>
    </row>
    <row r="53" spans="1:32">
      <c r="A53" s="22" t="s">
        <v>382</v>
      </c>
      <c r="B53" s="16" t="s">
        <v>370</v>
      </c>
      <c r="C53" s="124" t="s">
        <v>406</v>
      </c>
      <c r="D53" s="18">
        <v>125.99</v>
      </c>
      <c r="E53" s="17">
        <v>38.111974999999994</v>
      </c>
      <c r="F53" s="18">
        <v>274.87</v>
      </c>
      <c r="G53" s="17">
        <v>83.148174999999995</v>
      </c>
      <c r="H53" s="45">
        <v>50.02</v>
      </c>
      <c r="I53" s="45">
        <v>15.13105</v>
      </c>
      <c r="J53" s="45">
        <v>98.86</v>
      </c>
      <c r="K53" s="45">
        <v>29.905149999999999</v>
      </c>
      <c r="L53" s="45">
        <v>148.88</v>
      </c>
      <c r="M53" s="45">
        <v>45.036199999999994</v>
      </c>
      <c r="N53" s="18">
        <v>41.66</v>
      </c>
      <c r="O53" s="17">
        <v>12.602149999999998</v>
      </c>
      <c r="P53" s="19">
        <v>26000</v>
      </c>
      <c r="Q53" s="20">
        <v>2162000</v>
      </c>
      <c r="R53" s="20">
        <v>21620000</v>
      </c>
      <c r="S53" s="19"/>
      <c r="T53" s="19"/>
      <c r="U53" s="19"/>
      <c r="V53" s="20"/>
      <c r="W53" s="38">
        <v>216200</v>
      </c>
      <c r="X53" s="40">
        <v>2378200</v>
      </c>
      <c r="Y53" s="39"/>
      <c r="Z53" s="25">
        <v>2162000</v>
      </c>
      <c r="AA53" s="13" t="s">
        <v>407</v>
      </c>
      <c r="AB53" s="42">
        <v>50.02</v>
      </c>
      <c r="AC53" s="42">
        <v>7.73</v>
      </c>
      <c r="AD53" s="42">
        <v>91.13</v>
      </c>
      <c r="AE53" s="42">
        <v>98.86</v>
      </c>
      <c r="AF53" s="42">
        <v>148.88</v>
      </c>
    </row>
    <row r="54" spans="1:32">
      <c r="A54" s="14" t="s">
        <v>383</v>
      </c>
      <c r="B54" s="16" t="s">
        <v>473</v>
      </c>
      <c r="C54" s="124" t="s">
        <v>406</v>
      </c>
      <c r="D54" s="17">
        <v>317.83</v>
      </c>
      <c r="E54" s="17">
        <v>96.143574999999998</v>
      </c>
      <c r="F54" s="18">
        <v>693.41</v>
      </c>
      <c r="G54" s="17">
        <v>209.75652499999998</v>
      </c>
      <c r="H54" s="45">
        <v>126.19</v>
      </c>
      <c r="I54" s="45">
        <v>38.172474999999999</v>
      </c>
      <c r="J54" s="45">
        <v>249.39</v>
      </c>
      <c r="K54" s="45">
        <v>75.440474999999992</v>
      </c>
      <c r="L54" s="45">
        <v>375.58</v>
      </c>
      <c r="M54" s="45">
        <v>113.61295</v>
      </c>
      <c r="N54" s="18">
        <v>105.1</v>
      </c>
      <c r="O54" s="17">
        <v>31.792749999999998</v>
      </c>
      <c r="P54" s="19">
        <v>26000</v>
      </c>
      <c r="Q54" s="20">
        <v>5454000</v>
      </c>
      <c r="R54" s="20">
        <v>54540000</v>
      </c>
      <c r="S54" s="19"/>
      <c r="T54" s="19"/>
      <c r="U54" s="19"/>
      <c r="V54" s="20"/>
      <c r="W54" s="38">
        <v>545400</v>
      </c>
      <c r="X54" s="40">
        <v>5999400</v>
      </c>
      <c r="Y54" s="39"/>
      <c r="Z54" s="25">
        <v>5454000</v>
      </c>
      <c r="AA54" s="13" t="s">
        <v>407</v>
      </c>
      <c r="AB54" s="42">
        <v>126.19</v>
      </c>
      <c r="AC54" s="42">
        <v>19.5</v>
      </c>
      <c r="AD54" s="42">
        <v>229.89</v>
      </c>
      <c r="AE54" s="42">
        <v>249.39</v>
      </c>
      <c r="AF54" s="42">
        <v>375.58</v>
      </c>
    </row>
    <row r="55" spans="1:32">
      <c r="A55" s="14" t="s">
        <v>384</v>
      </c>
      <c r="B55" s="113" t="s">
        <v>370</v>
      </c>
      <c r="C55" s="124" t="s">
        <v>406</v>
      </c>
      <c r="D55" s="17">
        <v>539.66</v>
      </c>
      <c r="E55" s="17">
        <v>163.24714999999998</v>
      </c>
      <c r="F55" s="18">
        <v>1177.3699999999999</v>
      </c>
      <c r="G55" s="17">
        <v>356.15442499999995</v>
      </c>
      <c r="H55" s="45">
        <v>214.26</v>
      </c>
      <c r="I55" s="45">
        <v>64.813649999999996</v>
      </c>
      <c r="J55" s="45">
        <v>423.45</v>
      </c>
      <c r="K55" s="45">
        <v>128.093625</v>
      </c>
      <c r="L55" s="45">
        <v>637.71</v>
      </c>
      <c r="M55" s="45">
        <v>192.907275</v>
      </c>
      <c r="N55" s="18">
        <v>178.46</v>
      </c>
      <c r="O55" s="17">
        <v>53.98415</v>
      </c>
      <c r="P55" s="19">
        <v>26000</v>
      </c>
      <c r="Q55" s="20">
        <v>9261000</v>
      </c>
      <c r="R55" s="20">
        <v>92610000</v>
      </c>
      <c r="S55" s="19"/>
      <c r="T55" s="19"/>
      <c r="U55" s="19"/>
      <c r="V55" s="20"/>
      <c r="W55" s="38">
        <v>926100</v>
      </c>
      <c r="X55" s="40">
        <v>10187100</v>
      </c>
      <c r="Y55" s="39"/>
      <c r="Z55" s="25">
        <v>9261000</v>
      </c>
      <c r="AA55" s="13" t="s">
        <v>407</v>
      </c>
      <c r="AB55" s="42">
        <v>214.26</v>
      </c>
      <c r="AC55" s="42">
        <v>33.11</v>
      </c>
      <c r="AD55" s="42">
        <v>390.34</v>
      </c>
      <c r="AE55" s="42">
        <v>423.45</v>
      </c>
      <c r="AF55" s="42">
        <v>637.71</v>
      </c>
    </row>
    <row r="56" spans="1:32">
      <c r="A56" s="14" t="s">
        <v>385</v>
      </c>
      <c r="B56" s="15" t="s">
        <v>370</v>
      </c>
      <c r="C56" s="124" t="s">
        <v>406</v>
      </c>
      <c r="D56" s="17">
        <v>141.27000000000001</v>
      </c>
      <c r="E56" s="17">
        <v>42.734175</v>
      </c>
      <c r="F56" s="18">
        <v>308.21000000000004</v>
      </c>
      <c r="G56" s="17">
        <v>93.233525000000014</v>
      </c>
      <c r="H56" s="45">
        <v>56.09</v>
      </c>
      <c r="I56" s="45">
        <v>16.967224999999999</v>
      </c>
      <c r="J56" s="45">
        <v>110.85000000000001</v>
      </c>
      <c r="K56" s="45">
        <v>33.532125000000001</v>
      </c>
      <c r="L56" s="45">
        <v>166.94</v>
      </c>
      <c r="M56" s="45">
        <v>50.49935</v>
      </c>
      <c r="N56" s="18">
        <v>46.72</v>
      </c>
      <c r="O56" s="17">
        <v>14.1328</v>
      </c>
      <c r="P56" s="19">
        <v>26000</v>
      </c>
      <c r="Q56" s="20">
        <v>2425000</v>
      </c>
      <c r="R56" s="20">
        <v>24250000</v>
      </c>
      <c r="S56" s="19"/>
      <c r="T56" s="19"/>
      <c r="U56" s="19"/>
      <c r="V56" s="20"/>
      <c r="W56" s="38">
        <v>242500</v>
      </c>
      <c r="X56" s="40">
        <v>2667500</v>
      </c>
      <c r="Y56" s="39"/>
      <c r="Z56" s="25">
        <v>2425000</v>
      </c>
      <c r="AA56" s="13" t="s">
        <v>407</v>
      </c>
      <c r="AB56" s="42">
        <v>56.09</v>
      </c>
      <c r="AC56" s="42">
        <v>8.67</v>
      </c>
      <c r="AD56" s="42">
        <v>102.18</v>
      </c>
      <c r="AE56" s="42">
        <v>110.85000000000001</v>
      </c>
      <c r="AF56" s="42">
        <v>166.94</v>
      </c>
    </row>
    <row r="57" spans="1:32" ht="13.5" customHeight="1">
      <c r="A57" s="14" t="s">
        <v>386</v>
      </c>
      <c r="B57" s="16" t="s">
        <v>436</v>
      </c>
      <c r="C57" s="124" t="s">
        <v>406</v>
      </c>
      <c r="D57" s="17">
        <v>353.14</v>
      </c>
      <c r="E57" s="17">
        <v>106.82485</v>
      </c>
      <c r="F57" s="18">
        <v>770.52</v>
      </c>
      <c r="G57" s="17">
        <v>233.08229999999998</v>
      </c>
      <c r="H57" s="45">
        <v>140.28</v>
      </c>
      <c r="I57" s="45">
        <v>42.434699999999999</v>
      </c>
      <c r="J57" s="45">
        <v>277.10000000000002</v>
      </c>
      <c r="K57" s="45">
        <v>83.822749999999999</v>
      </c>
      <c r="L57" s="45">
        <v>417.38</v>
      </c>
      <c r="M57" s="45">
        <v>126.25744999999999</v>
      </c>
      <c r="N57" s="18">
        <v>116.8</v>
      </c>
      <c r="O57" s="17">
        <v>35.332000000000001</v>
      </c>
      <c r="P57" s="19">
        <v>27944</v>
      </c>
      <c r="Q57" s="20">
        <v>6513000</v>
      </c>
      <c r="R57" s="20">
        <v>65130000</v>
      </c>
      <c r="S57" s="19"/>
      <c r="T57" s="19"/>
      <c r="U57" s="19"/>
      <c r="V57" s="20"/>
      <c r="W57" s="38">
        <v>651300</v>
      </c>
      <c r="X57" s="40">
        <v>7164300</v>
      </c>
      <c r="Y57" s="39"/>
      <c r="Z57" s="25">
        <v>6513000</v>
      </c>
      <c r="AA57" s="13" t="s">
        <v>407</v>
      </c>
      <c r="AB57" s="42">
        <v>140.28</v>
      </c>
      <c r="AC57" s="42">
        <v>21.67</v>
      </c>
      <c r="AD57" s="42">
        <v>255.43</v>
      </c>
      <c r="AE57" s="42">
        <v>277.10000000000002</v>
      </c>
      <c r="AF57" s="42">
        <v>417.38</v>
      </c>
    </row>
    <row r="58" spans="1:32" ht="13.5" customHeight="1">
      <c r="A58" s="14" t="s">
        <v>387</v>
      </c>
      <c r="B58" s="16" t="s">
        <v>436</v>
      </c>
      <c r="C58" s="124" t="s">
        <v>406</v>
      </c>
      <c r="D58" s="17">
        <v>116.18</v>
      </c>
      <c r="E58" s="17">
        <v>35.144449999999999</v>
      </c>
      <c r="F58" s="18">
        <v>253.47000000000003</v>
      </c>
      <c r="G58" s="17">
        <v>76.674675000000008</v>
      </c>
      <c r="H58" s="45">
        <v>46.13</v>
      </c>
      <c r="I58" s="45">
        <v>13.954325000000001</v>
      </c>
      <c r="J58" s="45">
        <v>91.16</v>
      </c>
      <c r="K58" s="45">
        <v>27.575899999999997</v>
      </c>
      <c r="L58" s="45">
        <v>137.29000000000002</v>
      </c>
      <c r="M58" s="45">
        <v>41.530225000000002</v>
      </c>
      <c r="N58" s="18">
        <v>38.42</v>
      </c>
      <c r="O58" s="17">
        <v>11.62205</v>
      </c>
      <c r="P58" s="19">
        <v>27910</v>
      </c>
      <c r="Q58" s="20">
        <v>2139000</v>
      </c>
      <c r="R58" s="20">
        <v>21390000</v>
      </c>
      <c r="S58" s="19"/>
      <c r="T58" s="19"/>
      <c r="U58" s="19"/>
      <c r="V58" s="20"/>
      <c r="W58" s="38">
        <v>213900</v>
      </c>
      <c r="X58" s="40">
        <v>2352900</v>
      </c>
      <c r="Y58" s="39"/>
      <c r="Z58" s="25">
        <v>2139000</v>
      </c>
      <c r="AA58" s="13" t="s">
        <v>362</v>
      </c>
      <c r="AB58" s="42">
        <v>46.13</v>
      </c>
      <c r="AC58" s="42">
        <v>7.13</v>
      </c>
      <c r="AD58" s="42">
        <v>84.03</v>
      </c>
      <c r="AE58" s="42">
        <v>91.16</v>
      </c>
      <c r="AF58" s="42">
        <v>137.29000000000002</v>
      </c>
    </row>
    <row r="59" spans="1:32">
      <c r="A59" s="14" t="s">
        <v>388</v>
      </c>
      <c r="B59" s="130" t="s">
        <v>370</v>
      </c>
      <c r="C59" s="124" t="s">
        <v>406</v>
      </c>
      <c r="D59" s="17">
        <v>76.56</v>
      </c>
      <c r="E59" s="17">
        <v>23.159400000000002</v>
      </c>
      <c r="F59" s="18">
        <v>167.04000000000002</v>
      </c>
      <c r="G59" s="17">
        <v>50.529600000000002</v>
      </c>
      <c r="H59" s="45">
        <v>30.4</v>
      </c>
      <c r="I59" s="45">
        <v>9.1959999999999997</v>
      </c>
      <c r="J59" s="45">
        <v>60.080000000000005</v>
      </c>
      <c r="K59" s="45">
        <v>18.174200000000003</v>
      </c>
      <c r="L59" s="45">
        <v>90.48</v>
      </c>
      <c r="M59" s="45">
        <v>27.370200000000001</v>
      </c>
      <c r="N59" s="18">
        <v>25.32</v>
      </c>
      <c r="O59" s="17">
        <v>7.6593</v>
      </c>
      <c r="P59" s="19">
        <v>26994.07871821665</v>
      </c>
      <c r="Q59" s="20">
        <v>1364000</v>
      </c>
      <c r="R59" s="20">
        <v>13640000</v>
      </c>
      <c r="S59" s="19"/>
      <c r="T59" s="19"/>
      <c r="U59" s="19"/>
      <c r="V59" s="20"/>
      <c r="W59" s="38">
        <v>136400</v>
      </c>
      <c r="X59" s="40">
        <v>1500400</v>
      </c>
      <c r="Y59" s="39"/>
      <c r="Z59" s="25">
        <v>1364000</v>
      </c>
      <c r="AA59" s="13" t="s">
        <v>362</v>
      </c>
      <c r="AB59" s="42">
        <v>30.4</v>
      </c>
      <c r="AC59" s="42">
        <v>4.7</v>
      </c>
      <c r="AD59" s="42">
        <v>55.38</v>
      </c>
      <c r="AE59" s="42">
        <v>60.080000000000005</v>
      </c>
      <c r="AF59" s="42">
        <v>90.48</v>
      </c>
    </row>
    <row r="60" spans="1:32">
      <c r="A60" s="14" t="s">
        <v>389</v>
      </c>
      <c r="B60" s="130" t="s">
        <v>370</v>
      </c>
      <c r="C60" s="124" t="s">
        <v>406</v>
      </c>
      <c r="D60" s="17">
        <v>76.56</v>
      </c>
      <c r="E60" s="17">
        <v>23.159400000000002</v>
      </c>
      <c r="F60" s="18">
        <v>167.04000000000002</v>
      </c>
      <c r="G60" s="17">
        <v>50.529600000000002</v>
      </c>
      <c r="H60" s="45">
        <v>30.4</v>
      </c>
      <c r="I60" s="45">
        <v>9.1959999999999997</v>
      </c>
      <c r="J60" s="45">
        <v>60.080000000000005</v>
      </c>
      <c r="K60" s="45">
        <v>18.174200000000003</v>
      </c>
      <c r="L60" s="45">
        <v>90.48</v>
      </c>
      <c r="M60" s="45">
        <v>27.370200000000001</v>
      </c>
      <c r="N60" s="18">
        <v>25.32</v>
      </c>
      <c r="O60" s="17">
        <v>7.6593</v>
      </c>
      <c r="P60" s="19">
        <v>26994.07871821665</v>
      </c>
      <c r="Q60" s="20">
        <v>1364000</v>
      </c>
      <c r="R60" s="20">
        <v>13640000</v>
      </c>
      <c r="S60" s="19"/>
      <c r="T60" s="19"/>
      <c r="U60" s="19"/>
      <c r="V60" s="20"/>
      <c r="W60" s="38">
        <v>136400</v>
      </c>
      <c r="X60" s="40">
        <v>1500400</v>
      </c>
      <c r="Y60" s="39"/>
      <c r="Z60" s="25">
        <v>1364000</v>
      </c>
      <c r="AA60" s="13" t="s">
        <v>362</v>
      </c>
      <c r="AB60" s="42">
        <v>30.4</v>
      </c>
      <c r="AC60" s="42">
        <v>4.7</v>
      </c>
      <c r="AD60" s="42">
        <v>55.38</v>
      </c>
      <c r="AE60" s="42">
        <v>60.080000000000005</v>
      </c>
      <c r="AF60" s="42">
        <v>90.48</v>
      </c>
    </row>
    <row r="61" spans="1:32">
      <c r="A61" s="14" t="s">
        <v>390</v>
      </c>
      <c r="B61" s="130" t="s">
        <v>370</v>
      </c>
      <c r="C61" s="124" t="s">
        <v>406</v>
      </c>
      <c r="D61" s="17">
        <v>23.85</v>
      </c>
      <c r="E61" s="17">
        <v>7.2146249999999998</v>
      </c>
      <c r="F61" s="18">
        <v>52.03</v>
      </c>
      <c r="G61" s="17">
        <v>15.739075</v>
      </c>
      <c r="H61" s="45">
        <v>9.4700000000000006</v>
      </c>
      <c r="I61" s="45">
        <v>2.8646750000000001</v>
      </c>
      <c r="J61" s="45">
        <v>18.71</v>
      </c>
      <c r="K61" s="45">
        <v>5.6597749999999998</v>
      </c>
      <c r="L61" s="45">
        <v>28.18</v>
      </c>
      <c r="M61" s="45">
        <v>8.5244499999999999</v>
      </c>
      <c r="N61" s="18">
        <v>7.89</v>
      </c>
      <c r="O61" s="17">
        <v>2.3867249999999998</v>
      </c>
      <c r="P61" s="19">
        <v>25986.279371564084</v>
      </c>
      <c r="Q61" s="20">
        <v>409000</v>
      </c>
      <c r="R61" s="20">
        <v>4090000</v>
      </c>
      <c r="S61" s="19"/>
      <c r="T61" s="19"/>
      <c r="U61" s="19"/>
      <c r="V61" s="20"/>
      <c r="W61" s="38">
        <v>40900</v>
      </c>
      <c r="X61" s="40">
        <v>449900</v>
      </c>
      <c r="Y61" s="39"/>
      <c r="Z61" s="25">
        <v>409000</v>
      </c>
      <c r="AA61" s="13" t="s">
        <v>362</v>
      </c>
      <c r="AB61" s="42">
        <v>9.4700000000000006</v>
      </c>
      <c r="AC61" s="42">
        <v>1.46</v>
      </c>
      <c r="AD61" s="42">
        <v>17.25</v>
      </c>
      <c r="AE61" s="42">
        <v>18.71</v>
      </c>
      <c r="AF61" s="42">
        <v>28.18</v>
      </c>
    </row>
    <row r="62" spans="1:32">
      <c r="A62" s="14" t="s">
        <v>391</v>
      </c>
      <c r="B62" s="130" t="s">
        <v>370</v>
      </c>
      <c r="C62" s="124" t="s">
        <v>406</v>
      </c>
      <c r="D62" s="17">
        <v>49</v>
      </c>
      <c r="E62" s="17">
        <v>14.8225</v>
      </c>
      <c r="F62" s="18">
        <v>106.9</v>
      </c>
      <c r="G62" s="17">
        <v>32.337249999999997</v>
      </c>
      <c r="H62" s="45">
        <v>19.45</v>
      </c>
      <c r="I62" s="45">
        <v>5.8836249999999994</v>
      </c>
      <c r="J62" s="45">
        <v>38.449999999999996</v>
      </c>
      <c r="K62" s="45">
        <v>11.631124999999999</v>
      </c>
      <c r="L62" s="45">
        <v>57.9</v>
      </c>
      <c r="M62" s="45">
        <v>17.514749999999999</v>
      </c>
      <c r="N62" s="18">
        <v>16.2</v>
      </c>
      <c r="O62" s="17">
        <v>4.9005000000000001</v>
      </c>
      <c r="P62" s="19">
        <v>25976.234837532567</v>
      </c>
      <c r="Q62" s="20">
        <v>840000</v>
      </c>
      <c r="R62" s="20">
        <v>8400000</v>
      </c>
      <c r="S62" s="19"/>
      <c r="T62" s="19"/>
      <c r="U62" s="19"/>
      <c r="V62" s="20"/>
      <c r="W62" s="38">
        <v>84000</v>
      </c>
      <c r="X62" s="40">
        <v>924000</v>
      </c>
      <c r="Y62" s="39"/>
      <c r="Z62" s="25">
        <v>840000</v>
      </c>
      <c r="AA62" s="13" t="s">
        <v>362</v>
      </c>
      <c r="AB62" s="42">
        <v>19.45</v>
      </c>
      <c r="AC62" s="42">
        <v>3.01</v>
      </c>
      <c r="AD62" s="42">
        <v>35.44</v>
      </c>
      <c r="AE62" s="42">
        <v>38.449999999999996</v>
      </c>
      <c r="AF62" s="42">
        <v>57.9</v>
      </c>
    </row>
    <row r="63" spans="1:32">
      <c r="A63" s="14" t="s">
        <v>392</v>
      </c>
      <c r="B63" s="130" t="s">
        <v>370</v>
      </c>
      <c r="C63" s="124" t="s">
        <v>406</v>
      </c>
      <c r="D63" s="17">
        <v>25.66</v>
      </c>
      <c r="E63" s="17">
        <v>7.7621500000000001</v>
      </c>
      <c r="F63" s="18">
        <v>55.980000000000004</v>
      </c>
      <c r="G63" s="17">
        <v>16.933949999999999</v>
      </c>
      <c r="H63" s="45">
        <v>10.19</v>
      </c>
      <c r="I63" s="45">
        <v>3.0824749999999996</v>
      </c>
      <c r="J63" s="45">
        <v>20.13</v>
      </c>
      <c r="K63" s="45">
        <v>6.0893249999999997</v>
      </c>
      <c r="L63" s="45">
        <v>30.32</v>
      </c>
      <c r="M63" s="45">
        <v>9.1717999999999993</v>
      </c>
      <c r="N63" s="18">
        <v>8.49</v>
      </c>
      <c r="O63" s="17">
        <v>2.568225</v>
      </c>
      <c r="P63" s="19">
        <v>25983.305726071001</v>
      </c>
      <c r="Q63" s="20">
        <v>440000</v>
      </c>
      <c r="R63" s="20">
        <v>4400000</v>
      </c>
      <c r="S63" s="19"/>
      <c r="T63" s="19"/>
      <c r="U63" s="19"/>
      <c r="V63" s="20"/>
      <c r="W63" s="38">
        <v>44000</v>
      </c>
      <c r="X63" s="40">
        <v>484000</v>
      </c>
      <c r="Y63" s="39"/>
      <c r="Z63" s="25">
        <v>440000</v>
      </c>
      <c r="AA63" s="13" t="s">
        <v>362</v>
      </c>
      <c r="AB63" s="42">
        <v>10.19</v>
      </c>
      <c r="AC63" s="42">
        <v>1.57</v>
      </c>
      <c r="AD63" s="42">
        <v>18.559999999999999</v>
      </c>
      <c r="AE63" s="42">
        <v>20.13</v>
      </c>
      <c r="AF63" s="42">
        <v>30.32</v>
      </c>
    </row>
    <row r="64" spans="1:32">
      <c r="A64" s="14" t="s">
        <v>393</v>
      </c>
      <c r="B64" s="130" t="s">
        <v>370</v>
      </c>
      <c r="C64" s="124" t="s">
        <v>406</v>
      </c>
      <c r="D64" s="17">
        <v>23.66</v>
      </c>
      <c r="E64" s="17">
        <v>7.1571499999999997</v>
      </c>
      <c r="F64" s="18">
        <v>51.61</v>
      </c>
      <c r="G64" s="17">
        <v>15.612024999999999</v>
      </c>
      <c r="H64" s="45">
        <v>9.39</v>
      </c>
      <c r="I64" s="45">
        <v>2.8404750000000001</v>
      </c>
      <c r="J64" s="45">
        <v>18.559999999999999</v>
      </c>
      <c r="K64" s="45">
        <v>5.6143999999999998</v>
      </c>
      <c r="L64" s="45">
        <v>27.95</v>
      </c>
      <c r="M64" s="45">
        <v>8.4548749999999995</v>
      </c>
      <c r="N64" s="18">
        <v>7.82</v>
      </c>
      <c r="O64" s="17">
        <v>2.3655499999999998</v>
      </c>
      <c r="P64" s="19">
        <v>25941.541856357522</v>
      </c>
      <c r="Q64" s="20">
        <v>405000</v>
      </c>
      <c r="R64" s="20">
        <v>4050000</v>
      </c>
      <c r="S64" s="19"/>
      <c r="T64" s="19"/>
      <c r="U64" s="19"/>
      <c r="V64" s="20"/>
      <c r="W64" s="38">
        <v>40500</v>
      </c>
      <c r="X64" s="40">
        <v>445500</v>
      </c>
      <c r="Y64" s="39"/>
      <c r="Z64" s="25">
        <v>405000</v>
      </c>
      <c r="AA64" s="13" t="s">
        <v>362</v>
      </c>
      <c r="AB64" s="42">
        <v>9.39</v>
      </c>
      <c r="AC64" s="42">
        <v>1.45</v>
      </c>
      <c r="AD64" s="42">
        <v>17.11</v>
      </c>
      <c r="AE64" s="42">
        <v>18.559999999999999</v>
      </c>
      <c r="AF64" s="42">
        <v>27.95</v>
      </c>
    </row>
    <row r="65" spans="1:32">
      <c r="A65" s="14" t="s">
        <v>394</v>
      </c>
      <c r="B65" s="130" t="s">
        <v>370</v>
      </c>
      <c r="C65" s="124" t="s">
        <v>406</v>
      </c>
      <c r="D65" s="17">
        <v>51.13</v>
      </c>
      <c r="E65" s="17">
        <v>15.466825</v>
      </c>
      <c r="F65" s="18">
        <v>111.55000000000001</v>
      </c>
      <c r="G65" s="17">
        <v>33.743875000000003</v>
      </c>
      <c r="H65" s="45">
        <v>20.3</v>
      </c>
      <c r="I65" s="45">
        <v>6.1407499999999997</v>
      </c>
      <c r="J65" s="45">
        <v>40.119999999999997</v>
      </c>
      <c r="K65" s="45">
        <v>12.136299999999999</v>
      </c>
      <c r="L65" s="45">
        <v>60.42</v>
      </c>
      <c r="M65" s="45">
        <v>18.277049999999999</v>
      </c>
      <c r="N65" s="18">
        <v>16.91</v>
      </c>
      <c r="O65" s="17">
        <v>5.1152749999999996</v>
      </c>
      <c r="P65" s="19">
        <v>25989.901871080307</v>
      </c>
      <c r="Q65" s="20">
        <v>877000</v>
      </c>
      <c r="R65" s="20">
        <v>8770000</v>
      </c>
      <c r="S65" s="19"/>
      <c r="T65" s="19"/>
      <c r="U65" s="19"/>
      <c r="V65" s="20"/>
      <c r="W65" s="38">
        <v>87700</v>
      </c>
      <c r="X65" s="40">
        <v>964700</v>
      </c>
      <c r="Y65" s="39"/>
      <c r="Z65" s="25">
        <v>877000</v>
      </c>
      <c r="AA65" s="13" t="s">
        <v>362</v>
      </c>
      <c r="AB65" s="42">
        <v>20.3</v>
      </c>
      <c r="AC65" s="42">
        <v>3.14</v>
      </c>
      <c r="AD65" s="42">
        <v>36.979999999999997</v>
      </c>
      <c r="AE65" s="42">
        <v>40.119999999999997</v>
      </c>
      <c r="AF65" s="42">
        <v>60.42</v>
      </c>
    </row>
    <row r="66" spans="1:32">
      <c r="A66" s="14" t="s">
        <v>395</v>
      </c>
      <c r="B66" s="15" t="s">
        <v>370</v>
      </c>
      <c r="C66" s="124" t="s">
        <v>406</v>
      </c>
      <c r="D66" s="17">
        <v>748.25</v>
      </c>
      <c r="E66" s="17">
        <v>226.34562499999998</v>
      </c>
      <c r="F66" s="18">
        <v>1632.46</v>
      </c>
      <c r="G66" s="17">
        <v>493.81914999999998</v>
      </c>
      <c r="H66" s="45">
        <v>297.08</v>
      </c>
      <c r="I66" s="45">
        <v>89.866699999999994</v>
      </c>
      <c r="J66" s="45">
        <v>587.13</v>
      </c>
      <c r="K66" s="45">
        <v>177.60682499999999</v>
      </c>
      <c r="L66" s="45">
        <v>884.21</v>
      </c>
      <c r="M66" s="45">
        <v>267.473525</v>
      </c>
      <c r="N66" s="18">
        <v>247.43</v>
      </c>
      <c r="O66" s="17">
        <v>74.847575000000006</v>
      </c>
      <c r="P66" s="19">
        <v>26000</v>
      </c>
      <c r="Q66" s="20">
        <v>12840000</v>
      </c>
      <c r="R66" s="20">
        <v>128400000</v>
      </c>
      <c r="S66" s="19"/>
      <c r="T66" s="19"/>
      <c r="U66" s="19"/>
      <c r="V66" s="20"/>
      <c r="W66" s="38">
        <v>1284000</v>
      </c>
      <c r="X66" s="40">
        <v>14124000</v>
      </c>
      <c r="Y66" s="39"/>
      <c r="Z66" s="25">
        <v>12840000</v>
      </c>
      <c r="AA66" s="13" t="s">
        <v>407</v>
      </c>
      <c r="AB66" s="42">
        <v>297.08</v>
      </c>
      <c r="AC66" s="42">
        <v>45.91</v>
      </c>
      <c r="AD66" s="42">
        <v>541.22</v>
      </c>
      <c r="AE66" s="42">
        <v>587.13</v>
      </c>
      <c r="AF66" s="42">
        <v>884.21</v>
      </c>
    </row>
    <row r="67" spans="1:32">
      <c r="A67" s="14" t="s">
        <v>396</v>
      </c>
      <c r="B67" s="15" t="s">
        <v>370</v>
      </c>
      <c r="C67" s="124" t="s">
        <v>406</v>
      </c>
      <c r="D67" s="17">
        <v>132.03</v>
      </c>
      <c r="E67" s="17">
        <v>39.939075000000003</v>
      </c>
      <c r="F67" s="18">
        <v>288.05</v>
      </c>
      <c r="G67" s="17">
        <v>87.135125000000002</v>
      </c>
      <c r="H67" s="45">
        <v>52.42</v>
      </c>
      <c r="I67" s="45">
        <v>15.857049999999999</v>
      </c>
      <c r="J67" s="45">
        <v>103.6</v>
      </c>
      <c r="K67" s="45">
        <v>31.338999999999999</v>
      </c>
      <c r="L67" s="45">
        <v>156.02000000000001</v>
      </c>
      <c r="M67" s="45">
        <v>47.19605</v>
      </c>
      <c r="N67" s="18">
        <v>43.66</v>
      </c>
      <c r="O67" s="17">
        <v>13.207149999999999</v>
      </c>
      <c r="P67" s="19">
        <v>26000</v>
      </c>
      <c r="Q67" s="20">
        <v>2266000</v>
      </c>
      <c r="R67" s="20">
        <v>22660000</v>
      </c>
      <c r="S67" s="19"/>
      <c r="T67" s="19"/>
      <c r="U67" s="19"/>
      <c r="V67" s="20"/>
      <c r="W67" s="38">
        <v>226600</v>
      </c>
      <c r="X67" s="40">
        <v>2492600</v>
      </c>
      <c r="Y67" s="39"/>
      <c r="Z67" s="25">
        <v>2266000</v>
      </c>
      <c r="AA67" s="13" t="s">
        <v>407</v>
      </c>
      <c r="AB67" s="42">
        <v>52.42</v>
      </c>
      <c r="AC67" s="42">
        <v>8.1</v>
      </c>
      <c r="AD67" s="42">
        <v>95.5</v>
      </c>
      <c r="AE67" s="42">
        <v>103.6</v>
      </c>
      <c r="AF67" s="42">
        <v>156.02000000000001</v>
      </c>
    </row>
    <row r="68" spans="1:32" ht="13.5" customHeight="1">
      <c r="A68" s="14" t="s">
        <v>366</v>
      </c>
      <c r="B68" s="16" t="s">
        <v>436</v>
      </c>
      <c r="C68" s="124" t="s">
        <v>408</v>
      </c>
      <c r="D68" s="17">
        <v>143.22999999999999</v>
      </c>
      <c r="E68" s="17">
        <v>43.327074999999994</v>
      </c>
      <c r="F68" s="18">
        <v>312.49</v>
      </c>
      <c r="G68" s="17">
        <v>94.528225000000006</v>
      </c>
      <c r="H68" s="45">
        <v>56.87</v>
      </c>
      <c r="I68" s="45">
        <v>17.203174999999998</v>
      </c>
      <c r="J68" s="45">
        <v>112.38999999999999</v>
      </c>
      <c r="K68" s="45">
        <v>33.997974999999997</v>
      </c>
      <c r="L68" s="45">
        <v>169.26</v>
      </c>
      <c r="M68" s="45">
        <v>51.201149999999998</v>
      </c>
      <c r="N68" s="18">
        <v>47.36</v>
      </c>
      <c r="O68" s="17">
        <v>14.3264</v>
      </c>
      <c r="P68" s="19"/>
      <c r="Q68" s="20"/>
      <c r="R68" s="20"/>
      <c r="S68" s="19">
        <v>11100388.270275887</v>
      </c>
      <c r="T68" s="19">
        <v>472185000</v>
      </c>
      <c r="U68" s="19">
        <v>577115000</v>
      </c>
      <c r="V68" s="20">
        <v>1049300000</v>
      </c>
      <c r="W68" s="38">
        <v>57711500</v>
      </c>
      <c r="X68" s="40">
        <v>1107011500</v>
      </c>
      <c r="Y68" s="39">
        <v>110701150</v>
      </c>
      <c r="Z68" s="25"/>
      <c r="AA68" s="13" t="s">
        <v>362</v>
      </c>
      <c r="AB68" s="42">
        <v>56.87</v>
      </c>
      <c r="AC68" s="42">
        <v>8.7899999999999991</v>
      </c>
      <c r="AD68" s="42">
        <v>103.6</v>
      </c>
      <c r="AE68" s="42">
        <v>112.38999999999999</v>
      </c>
      <c r="AF68" s="42">
        <v>169.26</v>
      </c>
    </row>
    <row r="69" spans="1:32" ht="13.5" customHeight="1">
      <c r="A69" s="14" t="s">
        <v>367</v>
      </c>
      <c r="B69" s="16" t="s">
        <v>436</v>
      </c>
      <c r="C69" s="124" t="s">
        <v>408</v>
      </c>
      <c r="D69" s="17">
        <v>141.54</v>
      </c>
      <c r="E69" s="17">
        <v>42.815849999999998</v>
      </c>
      <c r="F69" s="18">
        <v>308.79999999999995</v>
      </c>
      <c r="G69" s="17">
        <v>93.411999999999978</v>
      </c>
      <c r="H69" s="45">
        <v>56.2</v>
      </c>
      <c r="I69" s="45">
        <v>17.000499999999999</v>
      </c>
      <c r="J69" s="45">
        <v>111.06</v>
      </c>
      <c r="K69" s="45">
        <v>33.595649999999999</v>
      </c>
      <c r="L69" s="45">
        <v>167.26</v>
      </c>
      <c r="M69" s="45">
        <v>50.596149999999994</v>
      </c>
      <c r="N69" s="18">
        <v>46.8</v>
      </c>
      <c r="O69" s="17">
        <v>14.156999999999998</v>
      </c>
      <c r="P69" s="19"/>
      <c r="Q69" s="20"/>
      <c r="R69" s="20"/>
      <c r="S69" s="19">
        <v>12043420.545540191</v>
      </c>
      <c r="T69" s="19">
        <v>506250000</v>
      </c>
      <c r="U69" s="19">
        <v>618750000</v>
      </c>
      <c r="V69" s="20">
        <v>1125000000</v>
      </c>
      <c r="W69" s="38">
        <v>61875000</v>
      </c>
      <c r="X69" s="40">
        <v>1186875000</v>
      </c>
      <c r="Y69" s="39">
        <v>118687500</v>
      </c>
      <c r="Z69" s="25"/>
      <c r="AA69" s="13" t="s">
        <v>362</v>
      </c>
      <c r="AB69" s="42">
        <v>56.2</v>
      </c>
      <c r="AC69" s="42">
        <v>8.68</v>
      </c>
      <c r="AD69" s="42">
        <v>102.38</v>
      </c>
      <c r="AE69" s="42">
        <v>111.06</v>
      </c>
      <c r="AF69" s="42">
        <v>167.26</v>
      </c>
    </row>
    <row r="70" spans="1:32">
      <c r="A70" s="22" t="s">
        <v>368</v>
      </c>
      <c r="B70" s="16" t="s">
        <v>436</v>
      </c>
      <c r="C70" s="124" t="s">
        <v>408</v>
      </c>
      <c r="D70" s="18">
        <v>141.54</v>
      </c>
      <c r="E70" s="17">
        <v>42.815849999999998</v>
      </c>
      <c r="F70" s="18">
        <v>308.79999999999995</v>
      </c>
      <c r="G70" s="17">
        <v>93.411999999999978</v>
      </c>
      <c r="H70" s="45">
        <v>56.2</v>
      </c>
      <c r="I70" s="45">
        <v>17.000499999999999</v>
      </c>
      <c r="J70" s="45">
        <v>111.06</v>
      </c>
      <c r="K70" s="45">
        <v>33.595649999999999</v>
      </c>
      <c r="L70" s="45">
        <v>167.26</v>
      </c>
      <c r="M70" s="45">
        <v>50.596149999999994</v>
      </c>
      <c r="N70" s="18">
        <v>46.8</v>
      </c>
      <c r="O70" s="17">
        <v>14.156999999999998</v>
      </c>
      <c r="P70" s="19"/>
      <c r="Q70" s="19"/>
      <c r="R70" s="19"/>
      <c r="S70" s="19">
        <v>12043420.545540191</v>
      </c>
      <c r="T70" s="19">
        <v>506250000</v>
      </c>
      <c r="U70" s="19">
        <v>618750000</v>
      </c>
      <c r="V70" s="20">
        <v>1125000000</v>
      </c>
      <c r="W70" s="38">
        <v>61875000</v>
      </c>
      <c r="X70" s="40">
        <v>1186875000</v>
      </c>
      <c r="Y70" s="39">
        <v>118687500</v>
      </c>
      <c r="Z70" s="25"/>
      <c r="AA70" s="13" t="s">
        <v>362</v>
      </c>
      <c r="AB70" s="42">
        <v>56.2</v>
      </c>
      <c r="AC70" s="42">
        <v>8.68</v>
      </c>
      <c r="AD70" s="42">
        <v>102.38</v>
      </c>
      <c r="AE70" s="42">
        <v>111.06</v>
      </c>
      <c r="AF70" s="42">
        <v>167.26</v>
      </c>
    </row>
    <row r="71" spans="1:32">
      <c r="A71" s="22" t="s">
        <v>397</v>
      </c>
      <c r="B71" s="16" t="s">
        <v>436</v>
      </c>
      <c r="C71" s="124" t="s">
        <v>408</v>
      </c>
      <c r="D71" s="18">
        <v>159.63</v>
      </c>
      <c r="E71" s="17">
        <v>48.288074999999999</v>
      </c>
      <c r="F71" s="18">
        <v>348.26</v>
      </c>
      <c r="G71" s="17">
        <v>105.34864999999999</v>
      </c>
      <c r="H71" s="45">
        <v>63.38</v>
      </c>
      <c r="I71" s="45">
        <v>19.172450000000001</v>
      </c>
      <c r="J71" s="45">
        <v>125.25</v>
      </c>
      <c r="K71" s="45">
        <v>37.888125000000002</v>
      </c>
      <c r="L71" s="45">
        <v>188.63</v>
      </c>
      <c r="M71" s="45">
        <v>57.060575</v>
      </c>
      <c r="N71" s="18">
        <v>52.79</v>
      </c>
      <c r="O71" s="17">
        <v>15.968974999999999</v>
      </c>
      <c r="P71" s="19"/>
      <c r="Q71" s="19"/>
      <c r="R71" s="19"/>
      <c r="S71" s="19">
        <v>11100284.626333609</v>
      </c>
      <c r="T71" s="19">
        <v>526230000</v>
      </c>
      <c r="U71" s="19">
        <v>643170000</v>
      </c>
      <c r="V71" s="20">
        <v>1169400000</v>
      </c>
      <c r="W71" s="38">
        <v>64317000</v>
      </c>
      <c r="X71" s="40">
        <v>1233717000</v>
      </c>
      <c r="Y71" s="39">
        <v>123371700</v>
      </c>
      <c r="Z71" s="25"/>
      <c r="AA71" s="13" t="s">
        <v>362</v>
      </c>
      <c r="AB71" s="42">
        <v>63.38</v>
      </c>
      <c r="AC71" s="42">
        <v>9.7899999999999991</v>
      </c>
      <c r="AD71" s="42">
        <v>115.46</v>
      </c>
      <c r="AE71" s="42">
        <v>125.25</v>
      </c>
      <c r="AF71" s="42">
        <v>188.63</v>
      </c>
    </row>
    <row r="72" spans="1:32">
      <c r="A72" s="22" t="s">
        <v>398</v>
      </c>
      <c r="B72" s="16" t="s">
        <v>436</v>
      </c>
      <c r="C72" s="124" t="s">
        <v>408</v>
      </c>
      <c r="D72" s="18">
        <v>156.18</v>
      </c>
      <c r="E72" s="17">
        <v>47.244450000000001</v>
      </c>
      <c r="F72" s="18">
        <v>340.74</v>
      </c>
      <c r="G72" s="17">
        <v>103.07384999999999</v>
      </c>
      <c r="H72" s="45">
        <v>62.01</v>
      </c>
      <c r="I72" s="45">
        <v>18.758025</v>
      </c>
      <c r="J72" s="45">
        <v>122.55</v>
      </c>
      <c r="K72" s="45">
        <v>37.071374999999996</v>
      </c>
      <c r="L72" s="45">
        <v>184.56</v>
      </c>
      <c r="M72" s="45">
        <v>55.8294</v>
      </c>
      <c r="N72" s="18">
        <v>51.65</v>
      </c>
      <c r="O72" s="17">
        <v>15.624124999999999</v>
      </c>
      <c r="P72" s="19"/>
      <c r="Q72" s="19"/>
      <c r="R72" s="19"/>
      <c r="S72" s="19">
        <v>12045732.258958019</v>
      </c>
      <c r="T72" s="19">
        <v>558720000</v>
      </c>
      <c r="U72" s="19">
        <v>682880000</v>
      </c>
      <c r="V72" s="20">
        <v>1241600000</v>
      </c>
      <c r="W72" s="38">
        <v>68288000</v>
      </c>
      <c r="X72" s="40">
        <v>1309888000</v>
      </c>
      <c r="Y72" s="39">
        <v>130988800</v>
      </c>
      <c r="Z72" s="25"/>
      <c r="AA72" s="13" t="s">
        <v>362</v>
      </c>
      <c r="AB72" s="42">
        <v>62.01</v>
      </c>
      <c r="AC72" s="42">
        <v>9.58</v>
      </c>
      <c r="AD72" s="42">
        <v>112.97</v>
      </c>
      <c r="AE72" s="42">
        <v>122.55</v>
      </c>
      <c r="AF72" s="42">
        <v>184.56</v>
      </c>
    </row>
    <row r="73" spans="1:32">
      <c r="A73" s="22" t="s">
        <v>399</v>
      </c>
      <c r="B73" s="16" t="s">
        <v>436</v>
      </c>
      <c r="C73" s="124" t="s">
        <v>408</v>
      </c>
      <c r="D73" s="18">
        <v>146.58000000000001</v>
      </c>
      <c r="E73" s="17">
        <v>44.340450000000004</v>
      </c>
      <c r="F73" s="18">
        <v>319.78999999999996</v>
      </c>
      <c r="G73" s="17">
        <v>96.736474999999984</v>
      </c>
      <c r="H73" s="45">
        <v>58.2</v>
      </c>
      <c r="I73" s="45">
        <v>17.605499999999999</v>
      </c>
      <c r="J73" s="45">
        <v>115.00999999999999</v>
      </c>
      <c r="K73" s="45">
        <v>34.790524999999995</v>
      </c>
      <c r="L73" s="45">
        <v>173.20999999999998</v>
      </c>
      <c r="M73" s="45">
        <v>52.396024999999995</v>
      </c>
      <c r="N73" s="18">
        <v>48.47</v>
      </c>
      <c r="O73" s="17">
        <v>14.662175</v>
      </c>
      <c r="P73" s="19"/>
      <c r="Q73" s="19"/>
      <c r="R73" s="19"/>
      <c r="S73" s="19">
        <v>12044060.939785125</v>
      </c>
      <c r="T73" s="19">
        <v>524295000</v>
      </c>
      <c r="U73" s="19">
        <v>640805000</v>
      </c>
      <c r="V73" s="20">
        <v>1165100000</v>
      </c>
      <c r="W73" s="38">
        <v>64080500</v>
      </c>
      <c r="X73" s="40">
        <v>1229180500</v>
      </c>
      <c r="Y73" s="39">
        <v>122918050</v>
      </c>
      <c r="Z73" s="25"/>
      <c r="AA73" s="13" t="s">
        <v>362</v>
      </c>
      <c r="AB73" s="42">
        <v>58.2</v>
      </c>
      <c r="AC73" s="42">
        <v>8.99</v>
      </c>
      <c r="AD73" s="42">
        <v>106.02</v>
      </c>
      <c r="AE73" s="42">
        <v>115.00999999999999</v>
      </c>
      <c r="AF73" s="42">
        <v>173.20999999999998</v>
      </c>
    </row>
    <row r="74" spans="1:32">
      <c r="A74" s="22" t="s">
        <v>400</v>
      </c>
      <c r="B74" s="16" t="s">
        <v>436</v>
      </c>
      <c r="C74" s="124" t="s">
        <v>408</v>
      </c>
      <c r="D74" s="18">
        <v>148.33000000000001</v>
      </c>
      <c r="E74" s="17">
        <v>44.869825000000006</v>
      </c>
      <c r="F74" s="18">
        <v>323.61</v>
      </c>
      <c r="G74" s="17">
        <v>97.892025000000004</v>
      </c>
      <c r="H74" s="45">
        <v>58.89</v>
      </c>
      <c r="I74" s="45">
        <v>17.814225</v>
      </c>
      <c r="J74" s="45">
        <v>116.39</v>
      </c>
      <c r="K74" s="45">
        <v>35.207974999999998</v>
      </c>
      <c r="L74" s="45">
        <v>175.28</v>
      </c>
      <c r="M74" s="45">
        <v>53.022199999999998</v>
      </c>
      <c r="N74" s="18">
        <v>49.05</v>
      </c>
      <c r="O74" s="17">
        <v>14.837624999999999</v>
      </c>
      <c r="P74" s="19"/>
      <c r="Q74" s="19"/>
      <c r="R74" s="19"/>
      <c r="S74" s="19">
        <v>12044903.555728875</v>
      </c>
      <c r="T74" s="19">
        <v>530595000</v>
      </c>
      <c r="U74" s="19">
        <v>648505000</v>
      </c>
      <c r="V74" s="20">
        <v>1179100000</v>
      </c>
      <c r="W74" s="38">
        <v>64850500</v>
      </c>
      <c r="X74" s="40">
        <v>1243950500</v>
      </c>
      <c r="Y74" s="39">
        <v>124395050</v>
      </c>
      <c r="Z74" s="25"/>
      <c r="AA74" s="13" t="s">
        <v>362</v>
      </c>
      <c r="AB74" s="42">
        <v>58.89</v>
      </c>
      <c r="AC74" s="42">
        <v>9.1</v>
      </c>
      <c r="AD74" s="42">
        <v>107.29</v>
      </c>
      <c r="AE74" s="42">
        <v>116.39</v>
      </c>
      <c r="AF74" s="42">
        <v>175.28</v>
      </c>
    </row>
    <row r="75" spans="1:32">
      <c r="A75" s="22" t="s">
        <v>401</v>
      </c>
      <c r="B75" s="16" t="s">
        <v>436</v>
      </c>
      <c r="C75" s="124" t="s">
        <v>408</v>
      </c>
      <c r="D75" s="18">
        <v>118.42</v>
      </c>
      <c r="E75" s="17">
        <v>35.822049999999997</v>
      </c>
      <c r="F75" s="18">
        <v>258.36</v>
      </c>
      <c r="G75" s="17">
        <v>78.153900000000007</v>
      </c>
      <c r="H75" s="45">
        <v>47.02</v>
      </c>
      <c r="I75" s="45">
        <v>14.223550000000001</v>
      </c>
      <c r="J75" s="45">
        <v>92.92</v>
      </c>
      <c r="K75" s="45">
        <v>28.1083</v>
      </c>
      <c r="L75" s="45">
        <v>139.94</v>
      </c>
      <c r="M75" s="45">
        <v>42.331849999999996</v>
      </c>
      <c r="N75" s="18">
        <v>39.159999999999997</v>
      </c>
      <c r="O75" s="17">
        <v>11.845899999999999</v>
      </c>
      <c r="P75" s="19"/>
      <c r="Q75" s="19"/>
      <c r="R75" s="19"/>
      <c r="S75" s="19">
        <v>11099893.927238435</v>
      </c>
      <c r="T75" s="19">
        <v>390375000</v>
      </c>
      <c r="U75" s="19">
        <v>477125000.00000006</v>
      </c>
      <c r="V75" s="20">
        <v>867500000</v>
      </c>
      <c r="W75" s="38">
        <v>47712500.000000007</v>
      </c>
      <c r="X75" s="40">
        <v>915212500</v>
      </c>
      <c r="Y75" s="39">
        <v>91521250</v>
      </c>
      <c r="Z75" s="25"/>
      <c r="AA75" s="13" t="s">
        <v>362</v>
      </c>
      <c r="AB75" s="42">
        <v>47.02</v>
      </c>
      <c r="AC75" s="42">
        <v>7.27</v>
      </c>
      <c r="AD75" s="42">
        <v>85.65</v>
      </c>
      <c r="AE75" s="42">
        <v>92.92</v>
      </c>
      <c r="AF75" s="42">
        <v>139.94</v>
      </c>
    </row>
    <row r="76" spans="1:32">
      <c r="A76" s="22" t="s">
        <v>402</v>
      </c>
      <c r="B76" s="16" t="s">
        <v>436</v>
      </c>
      <c r="C76" s="124" t="s">
        <v>408</v>
      </c>
      <c r="D76" s="18">
        <v>191.43</v>
      </c>
      <c r="E76" s="17">
        <v>57.907575000000001</v>
      </c>
      <c r="F76" s="18">
        <v>417.64</v>
      </c>
      <c r="G76" s="17">
        <v>126.33609999999999</v>
      </c>
      <c r="H76" s="45">
        <v>76</v>
      </c>
      <c r="I76" s="45">
        <v>22.99</v>
      </c>
      <c r="J76" s="45">
        <v>150.21</v>
      </c>
      <c r="K76" s="45">
        <v>45.438524999999998</v>
      </c>
      <c r="L76" s="45">
        <v>226.21</v>
      </c>
      <c r="M76" s="45">
        <v>68.428524999999993</v>
      </c>
      <c r="N76" s="18">
        <v>63.3</v>
      </c>
      <c r="O76" s="17">
        <v>19.148249999999997</v>
      </c>
      <c r="P76" s="19"/>
      <c r="Q76" s="19"/>
      <c r="R76" s="19"/>
      <c r="S76" s="19">
        <v>11099756.918252187</v>
      </c>
      <c r="T76" s="19">
        <v>631035000</v>
      </c>
      <c r="U76" s="19">
        <v>771265000.00000012</v>
      </c>
      <c r="V76" s="20">
        <v>1402300000</v>
      </c>
      <c r="W76" s="38">
        <v>77126500.000000015</v>
      </c>
      <c r="X76" s="40">
        <v>1479426500</v>
      </c>
      <c r="Y76" s="39">
        <v>147942650</v>
      </c>
      <c r="Z76" s="25"/>
      <c r="AA76" s="13" t="s">
        <v>362</v>
      </c>
      <c r="AB76" s="42">
        <v>76</v>
      </c>
      <c r="AC76" s="42">
        <v>11.75</v>
      </c>
      <c r="AD76" s="42">
        <v>138.46</v>
      </c>
      <c r="AE76" s="42">
        <v>150.21</v>
      </c>
      <c r="AF76" s="42">
        <v>226.21</v>
      </c>
    </row>
    <row r="77" spans="1:32">
      <c r="A77" s="22" t="s">
        <v>403</v>
      </c>
      <c r="B77" s="16" t="s">
        <v>436</v>
      </c>
      <c r="C77" s="124" t="s">
        <v>408</v>
      </c>
      <c r="D77" s="18">
        <v>240.81</v>
      </c>
      <c r="E77" s="17">
        <v>72.845024999999993</v>
      </c>
      <c r="F77" s="18">
        <v>525.48</v>
      </c>
      <c r="G77" s="17">
        <v>158.95769999999999</v>
      </c>
      <c r="H77" s="45">
        <v>95.71</v>
      </c>
      <c r="I77" s="45">
        <v>28.952274999999997</v>
      </c>
      <c r="J77" s="45">
        <v>188.96</v>
      </c>
      <c r="K77" s="45">
        <v>57.160400000000003</v>
      </c>
      <c r="L77" s="45">
        <v>284.66999999999996</v>
      </c>
      <c r="M77" s="45">
        <v>86.112674999999982</v>
      </c>
      <c r="N77" s="18">
        <v>79.649999999999991</v>
      </c>
      <c r="O77" s="17">
        <v>24.094124999999998</v>
      </c>
      <c r="P77" s="19"/>
      <c r="Q77" s="19"/>
      <c r="R77" s="19"/>
      <c r="S77" s="19">
        <v>12043455.585982939</v>
      </c>
      <c r="T77" s="19">
        <v>861480000</v>
      </c>
      <c r="U77" s="19">
        <v>1052920000.0000001</v>
      </c>
      <c r="V77" s="20">
        <v>1914400000</v>
      </c>
      <c r="W77" s="38">
        <v>105292000.00000001</v>
      </c>
      <c r="X77" s="40">
        <v>2019692000</v>
      </c>
      <c r="Y77" s="39">
        <v>201969200</v>
      </c>
      <c r="Z77" s="25"/>
      <c r="AA77" s="13" t="s">
        <v>362</v>
      </c>
      <c r="AB77" s="42">
        <v>95.71</v>
      </c>
      <c r="AC77" s="42">
        <v>14.83</v>
      </c>
      <c r="AD77" s="42">
        <v>174.13</v>
      </c>
      <c r="AE77" s="42">
        <v>188.96</v>
      </c>
      <c r="AF77" s="42">
        <v>284.66999999999996</v>
      </c>
    </row>
    <row r="78" spans="1:32">
      <c r="A78" s="22" t="s">
        <v>404</v>
      </c>
      <c r="B78" s="16" t="s">
        <v>436</v>
      </c>
      <c r="C78" s="124" t="s">
        <v>408</v>
      </c>
      <c r="D78" s="18">
        <v>146.58000000000001</v>
      </c>
      <c r="E78" s="17">
        <v>44.340450000000004</v>
      </c>
      <c r="F78" s="18">
        <v>319.78999999999996</v>
      </c>
      <c r="G78" s="17">
        <v>96.736474999999984</v>
      </c>
      <c r="H78" s="45">
        <v>58.2</v>
      </c>
      <c r="I78" s="45">
        <v>17.605499999999999</v>
      </c>
      <c r="J78" s="45">
        <v>115.00999999999999</v>
      </c>
      <c r="K78" s="45">
        <v>34.790524999999995</v>
      </c>
      <c r="L78" s="45">
        <v>173.20999999999998</v>
      </c>
      <c r="M78" s="45">
        <v>52.396024999999995</v>
      </c>
      <c r="N78" s="18">
        <v>48.47</v>
      </c>
      <c r="O78" s="17">
        <v>14.662175</v>
      </c>
      <c r="P78" s="19"/>
      <c r="Q78" s="19"/>
      <c r="R78" s="19"/>
      <c r="S78" s="19">
        <v>12044060.939785125</v>
      </c>
      <c r="T78" s="19">
        <v>524295000</v>
      </c>
      <c r="U78" s="19">
        <v>640805000</v>
      </c>
      <c r="V78" s="20">
        <v>1165100000</v>
      </c>
      <c r="W78" s="38">
        <v>64080500</v>
      </c>
      <c r="X78" s="40">
        <v>1229180500</v>
      </c>
      <c r="Y78" s="39">
        <v>122918050</v>
      </c>
      <c r="Z78" s="25"/>
      <c r="AA78" s="13" t="s">
        <v>362</v>
      </c>
      <c r="AB78" s="42">
        <v>58.2</v>
      </c>
      <c r="AC78" s="42">
        <v>8.99</v>
      </c>
      <c r="AD78" s="42">
        <v>106.02</v>
      </c>
      <c r="AE78" s="42">
        <v>115.00999999999999</v>
      </c>
      <c r="AF78" s="42">
        <v>173.20999999999998</v>
      </c>
    </row>
    <row r="79" spans="1:32">
      <c r="A79" s="22" t="s">
        <v>405</v>
      </c>
      <c r="B79" s="16" t="s">
        <v>436</v>
      </c>
      <c r="C79" s="124" t="s">
        <v>408</v>
      </c>
      <c r="D79" s="18">
        <v>156.18</v>
      </c>
      <c r="E79" s="17">
        <v>47.244450000000001</v>
      </c>
      <c r="F79" s="18">
        <v>340.74</v>
      </c>
      <c r="G79" s="17">
        <v>103.07384999999999</v>
      </c>
      <c r="H79" s="45">
        <v>62.01</v>
      </c>
      <c r="I79" s="45">
        <v>18.758025</v>
      </c>
      <c r="J79" s="45">
        <v>122.55</v>
      </c>
      <c r="K79" s="45">
        <v>37.071374999999996</v>
      </c>
      <c r="L79" s="45">
        <v>184.56</v>
      </c>
      <c r="M79" s="45">
        <v>55.8294</v>
      </c>
      <c r="N79" s="18">
        <v>51.65</v>
      </c>
      <c r="O79" s="17">
        <v>15.624124999999999</v>
      </c>
      <c r="P79" s="19"/>
      <c r="Q79" s="19"/>
      <c r="R79" s="19"/>
      <c r="S79" s="19">
        <v>12045732.258958019</v>
      </c>
      <c r="T79" s="19">
        <v>558720000</v>
      </c>
      <c r="U79" s="19">
        <v>682880000</v>
      </c>
      <c r="V79" s="20">
        <v>1241600000</v>
      </c>
      <c r="W79" s="38">
        <v>68288000</v>
      </c>
      <c r="X79" s="40">
        <v>1309888000</v>
      </c>
      <c r="Y79" s="39">
        <v>130988800</v>
      </c>
      <c r="Z79" s="25"/>
      <c r="AA79" s="13" t="s">
        <v>362</v>
      </c>
      <c r="AB79" s="42">
        <v>62.01</v>
      </c>
      <c r="AC79" s="42">
        <v>9.58</v>
      </c>
      <c r="AD79" s="42">
        <v>112.97</v>
      </c>
      <c r="AE79" s="42">
        <v>122.55</v>
      </c>
      <c r="AF79" s="42">
        <v>184.56</v>
      </c>
    </row>
    <row r="80" spans="1:32" ht="13.5" customHeight="1">
      <c r="A80" s="404" t="s">
        <v>409</v>
      </c>
      <c r="B80" s="405"/>
      <c r="C80" s="125">
        <v>39</v>
      </c>
      <c r="D80" s="27">
        <v>6223.15</v>
      </c>
      <c r="E80" s="27">
        <v>1882.5028749999992</v>
      </c>
      <c r="F80" s="27">
        <v>13577.219999999996</v>
      </c>
      <c r="G80" s="27">
        <v>4107.1090499999991</v>
      </c>
      <c r="H80" s="27">
        <v>2470.9900000000002</v>
      </c>
      <c r="I80" s="27">
        <v>747.47447499999998</v>
      </c>
      <c r="J80" s="27">
        <v>4883.08</v>
      </c>
      <c r="K80" s="27">
        <v>1477.1316999999999</v>
      </c>
      <c r="L80" s="27">
        <v>7354.0700000000015</v>
      </c>
      <c r="M80" s="27">
        <v>2224.6061750000008</v>
      </c>
      <c r="N80" s="27">
        <v>2057.9100000000003</v>
      </c>
      <c r="O80" s="27">
        <v>622.51777500000003</v>
      </c>
      <c r="P80" s="28">
        <v>26456.506742315778</v>
      </c>
      <c r="Q80" s="28">
        <v>75651000</v>
      </c>
      <c r="R80" s="28">
        <v>756510000</v>
      </c>
      <c r="S80" s="28">
        <v>11738282.326232381</v>
      </c>
      <c r="T80" s="28">
        <v>6590430000</v>
      </c>
      <c r="U80" s="28">
        <v>8054970000</v>
      </c>
      <c r="V80" s="28">
        <v>14645400000</v>
      </c>
      <c r="W80" s="28">
        <v>805497000</v>
      </c>
      <c r="X80" s="28">
        <v>15450897000</v>
      </c>
      <c r="Y80" s="39"/>
      <c r="Z80" s="25"/>
      <c r="AB80" s="42"/>
      <c r="AC80" s="42"/>
      <c r="AD80" s="42"/>
      <c r="AE80" s="42"/>
      <c r="AF80" s="42"/>
    </row>
    <row r="81" spans="1:32">
      <c r="A81" s="148" t="s">
        <v>80</v>
      </c>
      <c r="B81" s="149" t="s">
        <v>474</v>
      </c>
      <c r="C81" s="150" t="s">
        <v>406</v>
      </c>
      <c r="D81" s="151">
        <v>78.569999999999993</v>
      </c>
      <c r="E81" s="152">
        <v>23.767424999999996</v>
      </c>
      <c r="F81" s="153">
        <v>133.85</v>
      </c>
      <c r="G81" s="152">
        <v>40.489624999999997</v>
      </c>
      <c r="H81" s="154">
        <v>12.79</v>
      </c>
      <c r="I81" s="155">
        <v>3.8689749999999998</v>
      </c>
      <c r="J81" s="154">
        <v>42.489999999999995</v>
      </c>
      <c r="K81" s="155">
        <v>12.853224999999998</v>
      </c>
      <c r="L81" s="154">
        <v>55.279999999999994</v>
      </c>
      <c r="M81" s="155">
        <v>16.722199999999997</v>
      </c>
      <c r="N81" s="153">
        <v>24.26</v>
      </c>
      <c r="O81" s="152">
        <v>7.3386500000000003</v>
      </c>
      <c r="P81" s="156">
        <v>79033</v>
      </c>
      <c r="Q81" s="156">
        <v>3200000</v>
      </c>
      <c r="R81" s="156">
        <v>32000000</v>
      </c>
      <c r="S81" s="156"/>
      <c r="T81" s="156"/>
      <c r="U81" s="156"/>
      <c r="V81" s="156"/>
      <c r="W81" s="157">
        <v>320000</v>
      </c>
      <c r="X81" s="158">
        <v>3520000</v>
      </c>
      <c r="Y81" s="159"/>
      <c r="Z81" s="160">
        <v>3200000</v>
      </c>
      <c r="AA81" s="13" t="s">
        <v>362</v>
      </c>
      <c r="AB81" s="42">
        <v>10.42</v>
      </c>
      <c r="AC81" s="42">
        <v>4.82</v>
      </c>
      <c r="AD81" s="42">
        <v>35.880000000000003</v>
      </c>
      <c r="AE81" s="42">
        <v>40.700000000000003</v>
      </c>
      <c r="AF81" s="42">
        <v>51.120000000000005</v>
      </c>
    </row>
    <row r="82" spans="1:32">
      <c r="A82" s="148" t="s">
        <v>81</v>
      </c>
      <c r="B82" s="149" t="s">
        <v>474</v>
      </c>
      <c r="C82" s="150" t="s">
        <v>406</v>
      </c>
      <c r="D82" s="151">
        <v>114.96</v>
      </c>
      <c r="E82" s="152">
        <v>34.775399999999998</v>
      </c>
      <c r="F82" s="153">
        <v>195.85</v>
      </c>
      <c r="G82" s="152">
        <v>59.244624999999999</v>
      </c>
      <c r="H82" s="154">
        <v>18.72</v>
      </c>
      <c r="I82" s="155">
        <v>5.6627999999999998</v>
      </c>
      <c r="J82" s="154">
        <v>62.17</v>
      </c>
      <c r="K82" s="155">
        <v>18.806425000000001</v>
      </c>
      <c r="L82" s="154">
        <v>80.89</v>
      </c>
      <c r="M82" s="155">
        <v>24.469224999999998</v>
      </c>
      <c r="N82" s="153">
        <v>35.5</v>
      </c>
      <c r="O82" s="152">
        <v>10.73875</v>
      </c>
      <c r="P82" s="156">
        <v>79332</v>
      </c>
      <c r="Q82" s="156">
        <v>4700000</v>
      </c>
      <c r="R82" s="156">
        <v>47000000</v>
      </c>
      <c r="S82" s="156"/>
      <c r="T82" s="156"/>
      <c r="U82" s="156"/>
      <c r="V82" s="156"/>
      <c r="W82" s="157">
        <v>470000</v>
      </c>
      <c r="X82" s="158">
        <v>5170000</v>
      </c>
      <c r="Y82" s="159"/>
      <c r="Z82" s="160">
        <v>4700000</v>
      </c>
      <c r="AA82" s="13" t="s">
        <v>362</v>
      </c>
      <c r="AB82" s="42">
        <v>15.25</v>
      </c>
      <c r="AC82" s="42">
        <v>7.05</v>
      </c>
      <c r="AD82" s="42">
        <v>52.5</v>
      </c>
      <c r="AE82" s="42">
        <v>59.55</v>
      </c>
      <c r="AF82" s="42">
        <v>74.8</v>
      </c>
    </row>
    <row r="83" spans="1:32">
      <c r="A83" s="22" t="s">
        <v>82</v>
      </c>
      <c r="B83" s="16" t="s">
        <v>474</v>
      </c>
      <c r="C83" s="126" t="s">
        <v>406</v>
      </c>
      <c r="D83" s="18">
        <v>121.09</v>
      </c>
      <c r="E83" s="17">
        <v>36.629725000000001</v>
      </c>
      <c r="F83" s="73">
        <v>206.29000000000002</v>
      </c>
      <c r="G83" s="17">
        <v>62.402725000000004</v>
      </c>
      <c r="H83" s="74">
        <v>19.71</v>
      </c>
      <c r="I83" s="45">
        <v>5.962275</v>
      </c>
      <c r="J83" s="74">
        <v>65.490000000000009</v>
      </c>
      <c r="K83" s="45">
        <v>19.810725000000001</v>
      </c>
      <c r="L83" s="74">
        <v>85.200000000000017</v>
      </c>
      <c r="M83" s="45">
        <v>25.773000000000003</v>
      </c>
      <c r="N83" s="73">
        <v>37.4</v>
      </c>
      <c r="O83" s="17">
        <v>11.313499999999999</v>
      </c>
      <c r="P83" s="19">
        <v>56087.294264793723</v>
      </c>
      <c r="Q83" s="19">
        <v>3500000</v>
      </c>
      <c r="R83" s="19">
        <v>35000000</v>
      </c>
      <c r="S83" s="19"/>
      <c r="T83" s="19"/>
      <c r="U83" s="19"/>
      <c r="V83" s="19"/>
      <c r="W83" s="38">
        <v>350000</v>
      </c>
      <c r="X83" s="40">
        <v>3850000</v>
      </c>
      <c r="Y83" s="39"/>
      <c r="Z83" s="25">
        <v>3500000</v>
      </c>
      <c r="AA83" s="13" t="s">
        <v>362</v>
      </c>
      <c r="AB83" s="42">
        <v>16.07</v>
      </c>
      <c r="AC83" s="42">
        <v>7.43</v>
      </c>
      <c r="AD83" s="42">
        <v>55.3</v>
      </c>
      <c r="AE83" s="42">
        <v>62.73</v>
      </c>
      <c r="AF83" s="42">
        <v>78.8</v>
      </c>
    </row>
    <row r="84" spans="1:32" s="81" customFormat="1">
      <c r="A84" s="22" t="s">
        <v>83</v>
      </c>
      <c r="B84" s="16" t="s">
        <v>475</v>
      </c>
      <c r="C84" s="126" t="s">
        <v>406</v>
      </c>
      <c r="D84" s="73">
        <v>362.86</v>
      </c>
      <c r="E84" s="17">
        <v>109.76515000000001</v>
      </c>
      <c r="F84" s="73">
        <v>791.66000000000008</v>
      </c>
      <c r="G84" s="17">
        <v>239.47715000000002</v>
      </c>
      <c r="H84" s="74">
        <v>144.06</v>
      </c>
      <c r="I84" s="75">
        <v>43.578150000000001</v>
      </c>
      <c r="J84" s="74">
        <v>284.74</v>
      </c>
      <c r="K84" s="75">
        <v>86.133849999999995</v>
      </c>
      <c r="L84" s="74">
        <v>428.8</v>
      </c>
      <c r="M84" s="75">
        <v>129.71199999999999</v>
      </c>
      <c r="N84" s="73">
        <v>142.94</v>
      </c>
      <c r="O84" s="17">
        <v>43.239349999999995</v>
      </c>
      <c r="P84" s="19">
        <v>78679.740426174263</v>
      </c>
      <c r="Q84" s="19">
        <v>18842000</v>
      </c>
      <c r="R84" s="19">
        <v>188420000</v>
      </c>
      <c r="S84" s="19"/>
      <c r="T84" s="19"/>
      <c r="U84" s="19"/>
      <c r="V84" s="19"/>
      <c r="W84" s="76">
        <v>1884200</v>
      </c>
      <c r="X84" s="40">
        <v>20726200</v>
      </c>
      <c r="Y84" s="77"/>
      <c r="Z84" s="78">
        <v>18842000</v>
      </c>
      <c r="AA84" s="79" t="s">
        <v>407</v>
      </c>
      <c r="AB84" s="80">
        <v>141.68</v>
      </c>
      <c r="AC84" s="80">
        <v>21.9</v>
      </c>
      <c r="AD84" s="80">
        <v>258.13</v>
      </c>
      <c r="AE84" s="80">
        <v>280.02999999999997</v>
      </c>
      <c r="AF84" s="80">
        <v>421.7</v>
      </c>
    </row>
    <row r="85" spans="1:32" s="81" customFormat="1">
      <c r="A85" s="22" t="s">
        <v>84</v>
      </c>
      <c r="B85" s="16" t="s">
        <v>475</v>
      </c>
      <c r="C85" s="126" t="s">
        <v>406</v>
      </c>
      <c r="D85" s="73">
        <v>143.80000000000001</v>
      </c>
      <c r="E85" s="17">
        <v>43.499500000000005</v>
      </c>
      <c r="F85" s="73">
        <v>313.73</v>
      </c>
      <c r="G85" s="17">
        <v>94.903325000000009</v>
      </c>
      <c r="H85" s="74">
        <v>57.09</v>
      </c>
      <c r="I85" s="75">
        <v>17.269725000000001</v>
      </c>
      <c r="J85" s="74">
        <v>112.84</v>
      </c>
      <c r="K85" s="75">
        <v>34.134099999999997</v>
      </c>
      <c r="L85" s="74">
        <v>169.93</v>
      </c>
      <c r="M85" s="75">
        <v>51.403824999999998</v>
      </c>
      <c r="N85" s="73">
        <v>56.65</v>
      </c>
      <c r="O85" s="17">
        <v>17.136624999999999</v>
      </c>
      <c r="P85" s="19">
        <v>94359.180776858964</v>
      </c>
      <c r="Q85" s="19">
        <v>8955000</v>
      </c>
      <c r="R85" s="19">
        <v>89550000</v>
      </c>
      <c r="S85" s="19"/>
      <c r="T85" s="19"/>
      <c r="U85" s="19"/>
      <c r="V85" s="19"/>
      <c r="W85" s="76">
        <v>895500</v>
      </c>
      <c r="X85" s="40">
        <v>9850500</v>
      </c>
      <c r="Y85" s="77"/>
      <c r="Z85" s="78">
        <v>8955000</v>
      </c>
      <c r="AA85" s="79" t="s">
        <v>407</v>
      </c>
      <c r="AB85" s="80">
        <v>67.34</v>
      </c>
      <c r="AC85" s="80">
        <v>10.41</v>
      </c>
      <c r="AD85" s="80">
        <v>122.68</v>
      </c>
      <c r="AE85" s="80">
        <v>133.09</v>
      </c>
      <c r="AF85" s="80">
        <v>200.43</v>
      </c>
    </row>
    <row r="86" spans="1:32" s="81" customFormat="1">
      <c r="A86" s="22" t="s">
        <v>410</v>
      </c>
      <c r="B86" s="15" t="s">
        <v>370</v>
      </c>
      <c r="C86" s="126" t="s">
        <v>406</v>
      </c>
      <c r="D86" s="73">
        <v>188.12</v>
      </c>
      <c r="E86" s="17">
        <v>56.906300000000002</v>
      </c>
      <c r="F86" s="73">
        <v>410.41999999999996</v>
      </c>
      <c r="G86" s="17">
        <v>124.15204999999999</v>
      </c>
      <c r="H86" s="74">
        <v>74.69</v>
      </c>
      <c r="I86" s="75">
        <v>22.593724999999999</v>
      </c>
      <c r="J86" s="74">
        <v>147.60999999999999</v>
      </c>
      <c r="K86" s="75">
        <v>44.652024999999995</v>
      </c>
      <c r="L86" s="74">
        <v>222.29999999999998</v>
      </c>
      <c r="M86" s="75">
        <v>67.245749999999987</v>
      </c>
      <c r="N86" s="73">
        <v>74.11</v>
      </c>
      <c r="O86" s="17">
        <v>22.418274999999998</v>
      </c>
      <c r="P86" s="19">
        <v>80006.733678582037</v>
      </c>
      <c r="Q86" s="19">
        <v>9933000</v>
      </c>
      <c r="R86" s="19">
        <v>99330000</v>
      </c>
      <c r="S86" s="19"/>
      <c r="T86" s="19"/>
      <c r="U86" s="19"/>
      <c r="V86" s="19"/>
      <c r="W86" s="76">
        <v>993300</v>
      </c>
      <c r="X86" s="40">
        <v>10926300</v>
      </c>
      <c r="Y86" s="77"/>
      <c r="Z86" s="78">
        <v>9933000</v>
      </c>
      <c r="AA86" s="79" t="s">
        <v>407</v>
      </c>
      <c r="AB86" s="80">
        <v>74.69</v>
      </c>
      <c r="AC86" s="80">
        <v>11.54</v>
      </c>
      <c r="AD86" s="80">
        <v>136.07</v>
      </c>
      <c r="AE86" s="80">
        <v>147.60999999999999</v>
      </c>
      <c r="AF86" s="80">
        <v>222.3</v>
      </c>
    </row>
    <row r="87" spans="1:32" s="72" customFormat="1">
      <c r="A87" s="82" t="s">
        <v>85</v>
      </c>
      <c r="B87" s="60" t="s">
        <v>474</v>
      </c>
      <c r="C87" s="126" t="s">
        <v>406</v>
      </c>
      <c r="D87" s="62">
        <v>65.33</v>
      </c>
      <c r="E87" s="17">
        <v>19.762325000000001</v>
      </c>
      <c r="F87" s="73">
        <v>111.3</v>
      </c>
      <c r="G87" s="17">
        <v>33.66825</v>
      </c>
      <c r="H87" s="74">
        <v>10.63</v>
      </c>
      <c r="I87" s="63">
        <v>3.2155750000000003</v>
      </c>
      <c r="J87" s="74">
        <v>35.340000000000003</v>
      </c>
      <c r="K87" s="63">
        <v>10.69035</v>
      </c>
      <c r="L87" s="74">
        <v>45.970000000000006</v>
      </c>
      <c r="M87" s="63">
        <v>13.905925000000002</v>
      </c>
      <c r="N87" s="73">
        <v>20.18</v>
      </c>
      <c r="O87" s="61">
        <v>6.1044499999999999</v>
      </c>
      <c r="P87" s="64">
        <v>80194.248290303178</v>
      </c>
      <c r="Q87" s="64">
        <v>2700000</v>
      </c>
      <c r="R87" s="64">
        <v>27000000</v>
      </c>
      <c r="S87" s="64"/>
      <c r="T87" s="64"/>
      <c r="U87" s="64"/>
      <c r="V87" s="64"/>
      <c r="W87" s="66">
        <v>270000</v>
      </c>
      <c r="X87" s="67">
        <v>2970000</v>
      </c>
      <c r="Y87" s="68"/>
      <c r="Z87" s="69">
        <v>2700000</v>
      </c>
      <c r="AA87" s="70" t="s">
        <v>362</v>
      </c>
      <c r="AB87" s="71">
        <v>8.67</v>
      </c>
      <c r="AC87" s="71">
        <v>4.01</v>
      </c>
      <c r="AD87" s="71">
        <v>29.84</v>
      </c>
      <c r="AE87" s="71">
        <v>33.85</v>
      </c>
      <c r="AF87" s="71">
        <v>42.519999999999996</v>
      </c>
    </row>
    <row r="88" spans="1:32" s="72" customFormat="1">
      <c r="A88" s="135" t="s">
        <v>86</v>
      </c>
      <c r="B88" s="136" t="s">
        <v>474</v>
      </c>
      <c r="C88" s="137" t="s">
        <v>406</v>
      </c>
      <c r="D88" s="138">
        <v>84.17</v>
      </c>
      <c r="E88" s="139">
        <v>25.461424999999998</v>
      </c>
      <c r="F88" s="140">
        <v>143.38999999999999</v>
      </c>
      <c r="G88" s="139">
        <v>43.375474999999994</v>
      </c>
      <c r="H88" s="141">
        <v>13.7</v>
      </c>
      <c r="I88" s="142">
        <v>4.1442499999999995</v>
      </c>
      <c r="J88" s="141">
        <v>45.52</v>
      </c>
      <c r="K88" s="142">
        <v>13.7698</v>
      </c>
      <c r="L88" s="141">
        <v>59.22</v>
      </c>
      <c r="M88" s="142">
        <v>17.91405</v>
      </c>
      <c r="N88" s="140">
        <v>25.99</v>
      </c>
      <c r="O88" s="143">
        <v>7.8619749999999993</v>
      </c>
      <c r="P88" s="144">
        <v>92218.01029268268</v>
      </c>
      <c r="Q88" s="144">
        <v>4000000</v>
      </c>
      <c r="R88" s="144">
        <v>40000000</v>
      </c>
      <c r="S88" s="144"/>
      <c r="T88" s="144"/>
      <c r="U88" s="144"/>
      <c r="V88" s="144"/>
      <c r="W88" s="145">
        <v>400000</v>
      </c>
      <c r="X88" s="146">
        <v>4400000</v>
      </c>
      <c r="Y88" s="147"/>
      <c r="Z88" s="144">
        <v>4000000</v>
      </c>
      <c r="AA88" s="70" t="s">
        <v>362</v>
      </c>
      <c r="AB88" s="71">
        <v>11.17</v>
      </c>
      <c r="AC88" s="71">
        <v>5.16</v>
      </c>
      <c r="AD88" s="71">
        <v>38.44</v>
      </c>
      <c r="AE88" s="71">
        <v>43.599999999999994</v>
      </c>
      <c r="AF88" s="71">
        <v>54.769999999999996</v>
      </c>
    </row>
    <row r="89" spans="1:32" s="72" customFormat="1">
      <c r="A89" s="135" t="s">
        <v>87</v>
      </c>
      <c r="B89" s="136" t="s">
        <v>474</v>
      </c>
      <c r="C89" s="137" t="s">
        <v>406</v>
      </c>
      <c r="D89" s="138">
        <v>76.02</v>
      </c>
      <c r="E89" s="139">
        <v>22.996049999999997</v>
      </c>
      <c r="F89" s="140">
        <v>129.5</v>
      </c>
      <c r="G89" s="139">
        <v>39.173749999999998</v>
      </c>
      <c r="H89" s="141">
        <v>12.37</v>
      </c>
      <c r="I89" s="142">
        <v>3.7419249999999997</v>
      </c>
      <c r="J89" s="141">
        <v>41.11</v>
      </c>
      <c r="K89" s="142">
        <v>12.435775</v>
      </c>
      <c r="L89" s="141">
        <v>53.48</v>
      </c>
      <c r="M89" s="142">
        <v>16.177699999999998</v>
      </c>
      <c r="N89" s="140">
        <v>23.48</v>
      </c>
      <c r="O89" s="143">
        <v>7.1026999999999996</v>
      </c>
      <c r="P89" s="144">
        <v>77526.404799132069</v>
      </c>
      <c r="Q89" s="144">
        <v>3037000</v>
      </c>
      <c r="R89" s="144">
        <v>30370000</v>
      </c>
      <c r="S89" s="144"/>
      <c r="T89" s="144"/>
      <c r="U89" s="144"/>
      <c r="V89" s="144"/>
      <c r="W89" s="145">
        <v>303700</v>
      </c>
      <c r="X89" s="146">
        <v>3340700</v>
      </c>
      <c r="Y89" s="147"/>
      <c r="Z89" s="144">
        <v>3037000</v>
      </c>
      <c r="AA89" s="70" t="s">
        <v>362</v>
      </c>
      <c r="AB89" s="71">
        <v>10.09</v>
      </c>
      <c r="AC89" s="71">
        <v>4.66</v>
      </c>
      <c r="AD89" s="71">
        <v>34.72</v>
      </c>
      <c r="AE89" s="71">
        <v>39.379999999999995</v>
      </c>
      <c r="AF89" s="71">
        <v>49.47</v>
      </c>
    </row>
    <row r="90" spans="1:32" s="72" customFormat="1">
      <c r="A90" s="135" t="s">
        <v>88</v>
      </c>
      <c r="B90" s="136" t="s">
        <v>474</v>
      </c>
      <c r="C90" s="137" t="s">
        <v>406</v>
      </c>
      <c r="D90" s="138">
        <v>78.569999999999993</v>
      </c>
      <c r="E90" s="139">
        <v>23.767424999999996</v>
      </c>
      <c r="F90" s="140">
        <v>133.85</v>
      </c>
      <c r="G90" s="139">
        <v>40.489624999999997</v>
      </c>
      <c r="H90" s="141">
        <v>12.79</v>
      </c>
      <c r="I90" s="142">
        <v>3.8689749999999998</v>
      </c>
      <c r="J90" s="141">
        <v>42.489999999999995</v>
      </c>
      <c r="K90" s="142">
        <v>12.853224999999998</v>
      </c>
      <c r="L90" s="141">
        <v>55.279999999999994</v>
      </c>
      <c r="M90" s="142">
        <v>16.722199999999997</v>
      </c>
      <c r="N90" s="140">
        <v>24.26</v>
      </c>
      <c r="O90" s="143">
        <v>7.3386500000000003</v>
      </c>
      <c r="P90" s="144">
        <v>77526.032903490719</v>
      </c>
      <c r="Q90" s="144">
        <v>3139000</v>
      </c>
      <c r="R90" s="144">
        <v>31390000</v>
      </c>
      <c r="S90" s="144"/>
      <c r="T90" s="144"/>
      <c r="U90" s="144"/>
      <c r="V90" s="144"/>
      <c r="W90" s="145">
        <v>313900</v>
      </c>
      <c r="X90" s="146">
        <v>3452900</v>
      </c>
      <c r="Y90" s="147"/>
      <c r="Z90" s="144">
        <v>3139000</v>
      </c>
      <c r="AA90" s="70" t="s">
        <v>362</v>
      </c>
      <c r="AB90" s="71">
        <v>10.42</v>
      </c>
      <c r="AC90" s="71">
        <v>4.82</v>
      </c>
      <c r="AD90" s="71">
        <v>35.880000000000003</v>
      </c>
      <c r="AE90" s="71">
        <v>40.700000000000003</v>
      </c>
      <c r="AF90" s="71">
        <v>51.120000000000005</v>
      </c>
    </row>
    <row r="91" spans="1:32" s="72" customFormat="1">
      <c r="A91" s="82" t="s">
        <v>89</v>
      </c>
      <c r="B91" s="60" t="s">
        <v>474</v>
      </c>
      <c r="C91" s="126" t="s">
        <v>406</v>
      </c>
      <c r="D91" s="62">
        <v>133.13</v>
      </c>
      <c r="E91" s="17">
        <v>40.271825</v>
      </c>
      <c r="F91" s="73">
        <v>226.8</v>
      </c>
      <c r="G91" s="17">
        <v>68.606999999999999</v>
      </c>
      <c r="H91" s="74">
        <v>21.68</v>
      </c>
      <c r="I91" s="63">
        <v>6.5581999999999994</v>
      </c>
      <c r="J91" s="74">
        <v>71.989999999999995</v>
      </c>
      <c r="K91" s="63">
        <v>21.776974999999997</v>
      </c>
      <c r="L91" s="74">
        <v>93.669999999999987</v>
      </c>
      <c r="M91" s="63">
        <v>28.335174999999996</v>
      </c>
      <c r="N91" s="73">
        <v>41.11</v>
      </c>
      <c r="O91" s="61">
        <v>12.435775</v>
      </c>
      <c r="P91" s="64">
        <v>80166.746833413505</v>
      </c>
      <c r="Q91" s="64">
        <v>5500000</v>
      </c>
      <c r="R91" s="64">
        <v>55000000</v>
      </c>
      <c r="S91" s="64"/>
      <c r="T91" s="64"/>
      <c r="U91" s="64"/>
      <c r="V91" s="64"/>
      <c r="W91" s="66">
        <v>550000</v>
      </c>
      <c r="X91" s="67">
        <v>6050000</v>
      </c>
      <c r="Y91" s="68"/>
      <c r="Z91" s="69">
        <v>5500000</v>
      </c>
      <c r="AA91" s="70" t="s">
        <v>362</v>
      </c>
      <c r="AB91" s="71">
        <v>17.66</v>
      </c>
      <c r="AC91" s="71">
        <v>8.17</v>
      </c>
      <c r="AD91" s="71">
        <v>60.8</v>
      </c>
      <c r="AE91" s="71">
        <v>68.97</v>
      </c>
      <c r="AF91" s="71">
        <v>86.63</v>
      </c>
    </row>
    <row r="92" spans="1:32" s="72" customFormat="1">
      <c r="A92" s="135" t="s">
        <v>90</v>
      </c>
      <c r="B92" s="136" t="s">
        <v>474</v>
      </c>
      <c r="C92" s="137" t="s">
        <v>406</v>
      </c>
      <c r="D92" s="138">
        <v>126.42</v>
      </c>
      <c r="E92" s="139">
        <v>38.242049999999999</v>
      </c>
      <c r="F92" s="140">
        <v>215.37</v>
      </c>
      <c r="G92" s="139">
        <v>65.149424999999994</v>
      </c>
      <c r="H92" s="141">
        <v>20.58</v>
      </c>
      <c r="I92" s="142">
        <v>6.2254499999999995</v>
      </c>
      <c r="J92" s="141">
        <v>68.37</v>
      </c>
      <c r="K92" s="142">
        <v>20.681925</v>
      </c>
      <c r="L92" s="141">
        <v>88.95</v>
      </c>
      <c r="M92" s="142">
        <v>26.907375000000002</v>
      </c>
      <c r="N92" s="140">
        <v>39.04</v>
      </c>
      <c r="O92" s="143">
        <v>11.8096</v>
      </c>
      <c r="P92" s="144">
        <v>77529.463997571744</v>
      </c>
      <c r="Q92" s="144">
        <v>5051000</v>
      </c>
      <c r="R92" s="144">
        <v>50510000</v>
      </c>
      <c r="S92" s="144"/>
      <c r="T92" s="144"/>
      <c r="U92" s="144"/>
      <c r="V92" s="144"/>
      <c r="W92" s="145">
        <v>505100</v>
      </c>
      <c r="X92" s="146">
        <v>5556100</v>
      </c>
      <c r="Y92" s="147"/>
      <c r="Z92" s="144">
        <v>5051000</v>
      </c>
      <c r="AA92" s="70" t="s">
        <v>362</v>
      </c>
      <c r="AB92" s="71">
        <v>16.77</v>
      </c>
      <c r="AC92" s="71">
        <v>7.76</v>
      </c>
      <c r="AD92" s="71">
        <v>57.74</v>
      </c>
      <c r="AE92" s="71">
        <v>65.5</v>
      </c>
      <c r="AF92" s="71">
        <v>82.27000000000001</v>
      </c>
    </row>
    <row r="93" spans="1:32" s="72" customFormat="1">
      <c r="A93" s="135" t="s">
        <v>91</v>
      </c>
      <c r="B93" s="136" t="s">
        <v>474</v>
      </c>
      <c r="C93" s="137" t="s">
        <v>406</v>
      </c>
      <c r="D93" s="138">
        <v>165.14</v>
      </c>
      <c r="E93" s="139">
        <v>49.954849999999993</v>
      </c>
      <c r="F93" s="140">
        <v>281.33</v>
      </c>
      <c r="G93" s="139">
        <v>85.102324999999993</v>
      </c>
      <c r="H93" s="141">
        <v>26.89</v>
      </c>
      <c r="I93" s="142">
        <v>8.1342250000000007</v>
      </c>
      <c r="J93" s="141">
        <v>89.3</v>
      </c>
      <c r="K93" s="142">
        <v>27.013249999999999</v>
      </c>
      <c r="L93" s="141">
        <v>116.19</v>
      </c>
      <c r="M93" s="142">
        <v>35.147475</v>
      </c>
      <c r="N93" s="140">
        <v>51</v>
      </c>
      <c r="O93" s="143">
        <v>15.4275</v>
      </c>
      <c r="P93" s="144">
        <v>77518.446176411759</v>
      </c>
      <c r="Q93" s="144">
        <v>6597000</v>
      </c>
      <c r="R93" s="144">
        <v>65970000</v>
      </c>
      <c r="S93" s="144"/>
      <c r="T93" s="144"/>
      <c r="U93" s="144"/>
      <c r="V93" s="144"/>
      <c r="W93" s="145">
        <v>659700</v>
      </c>
      <c r="X93" s="146">
        <v>7256700</v>
      </c>
      <c r="Y93" s="147"/>
      <c r="Z93" s="144">
        <v>6597000</v>
      </c>
      <c r="AA93" s="70" t="s">
        <v>362</v>
      </c>
      <c r="AB93" s="71">
        <v>21.91</v>
      </c>
      <c r="AC93" s="71">
        <v>10.130000000000001</v>
      </c>
      <c r="AD93" s="71">
        <v>75.42</v>
      </c>
      <c r="AE93" s="71">
        <v>85.55</v>
      </c>
      <c r="AF93" s="71">
        <v>107.46000000000001</v>
      </c>
    </row>
    <row r="94" spans="1:32" s="72" customFormat="1">
      <c r="A94" s="82" t="s">
        <v>92</v>
      </c>
      <c r="B94" s="60" t="s">
        <v>474</v>
      </c>
      <c r="C94" s="126" t="s">
        <v>406</v>
      </c>
      <c r="D94" s="62">
        <v>94.64</v>
      </c>
      <c r="E94" s="17">
        <v>28.628599999999999</v>
      </c>
      <c r="F94" s="73">
        <v>161.23000000000002</v>
      </c>
      <c r="G94" s="17">
        <v>48.772075000000001</v>
      </c>
      <c r="H94" s="74">
        <v>15.4</v>
      </c>
      <c r="I94" s="63">
        <v>4.6585000000000001</v>
      </c>
      <c r="J94" s="74">
        <v>51.190000000000005</v>
      </c>
      <c r="K94" s="63">
        <v>15.484975</v>
      </c>
      <c r="L94" s="74">
        <v>66.59</v>
      </c>
      <c r="M94" s="63">
        <v>20.143474999999999</v>
      </c>
      <c r="N94" s="73">
        <v>29.23</v>
      </c>
      <c r="O94" s="61">
        <v>8.8420749999999995</v>
      </c>
      <c r="P94" s="64">
        <v>90215.558800809682</v>
      </c>
      <c r="Q94" s="64">
        <v>4400000</v>
      </c>
      <c r="R94" s="64">
        <v>44000000</v>
      </c>
      <c r="S94" s="64"/>
      <c r="T94" s="64"/>
      <c r="U94" s="64"/>
      <c r="V94" s="64"/>
      <c r="W94" s="66">
        <v>440000</v>
      </c>
      <c r="X94" s="67">
        <v>4840000</v>
      </c>
      <c r="Y94" s="68"/>
      <c r="Z94" s="69">
        <v>4400000</v>
      </c>
      <c r="AA94" s="70" t="s">
        <v>362</v>
      </c>
      <c r="AB94" s="71">
        <v>12.56</v>
      </c>
      <c r="AC94" s="71">
        <v>5.81</v>
      </c>
      <c r="AD94" s="71">
        <v>43.22</v>
      </c>
      <c r="AE94" s="71">
        <v>49.03</v>
      </c>
      <c r="AF94" s="71">
        <v>61.59</v>
      </c>
    </row>
    <row r="95" spans="1:32" s="72" customFormat="1">
      <c r="A95" s="82" t="s">
        <v>93</v>
      </c>
      <c r="B95" s="60" t="s">
        <v>474</v>
      </c>
      <c r="C95" s="126" t="s">
        <v>406</v>
      </c>
      <c r="D95" s="62">
        <v>91.26</v>
      </c>
      <c r="E95" s="17">
        <v>27.60615</v>
      </c>
      <c r="F95" s="73">
        <v>155.47</v>
      </c>
      <c r="G95" s="17">
        <v>47.029674999999997</v>
      </c>
      <c r="H95" s="74">
        <v>14.86</v>
      </c>
      <c r="I95" s="63">
        <v>4.4951499999999998</v>
      </c>
      <c r="J95" s="74">
        <v>49.35</v>
      </c>
      <c r="K95" s="63">
        <v>14.928375000000001</v>
      </c>
      <c r="L95" s="74">
        <v>64.210000000000008</v>
      </c>
      <c r="M95" s="63">
        <v>19.423525000000001</v>
      </c>
      <c r="N95" s="73">
        <v>28.18</v>
      </c>
      <c r="O95" s="61">
        <v>8.5244499999999999</v>
      </c>
      <c r="P95" s="64">
        <v>97810.584487347616</v>
      </c>
      <c r="Q95" s="64">
        <v>4600000</v>
      </c>
      <c r="R95" s="64">
        <v>46000000</v>
      </c>
      <c r="S95" s="64"/>
      <c r="T95" s="64"/>
      <c r="U95" s="64"/>
      <c r="V95" s="64"/>
      <c r="W95" s="66">
        <v>460000</v>
      </c>
      <c r="X95" s="67">
        <v>5060000</v>
      </c>
      <c r="Y95" s="68"/>
      <c r="Z95" s="69">
        <v>4600000</v>
      </c>
      <c r="AA95" s="70" t="s">
        <v>362</v>
      </c>
      <c r="AB95" s="71">
        <v>12.11</v>
      </c>
      <c r="AC95" s="71">
        <v>5.6</v>
      </c>
      <c r="AD95" s="71">
        <v>41.68</v>
      </c>
      <c r="AE95" s="71">
        <v>47.28</v>
      </c>
      <c r="AF95" s="71">
        <v>59.39</v>
      </c>
    </row>
    <row r="96" spans="1:32" s="72" customFormat="1">
      <c r="A96" s="82" t="s">
        <v>94</v>
      </c>
      <c r="B96" s="60" t="s">
        <v>474</v>
      </c>
      <c r="C96" s="126" t="s">
        <v>406</v>
      </c>
      <c r="D96" s="62">
        <v>70.98</v>
      </c>
      <c r="E96" s="17">
        <v>21.471450000000001</v>
      </c>
      <c r="F96" s="73">
        <v>120.92</v>
      </c>
      <c r="G96" s="17">
        <v>36.578299999999999</v>
      </c>
      <c r="H96" s="74">
        <v>11.56</v>
      </c>
      <c r="I96" s="63">
        <v>3.4969000000000001</v>
      </c>
      <c r="J96" s="74">
        <v>38.379999999999995</v>
      </c>
      <c r="K96" s="63">
        <v>11.609949999999998</v>
      </c>
      <c r="L96" s="74">
        <v>49.94</v>
      </c>
      <c r="M96" s="63">
        <v>15.10685</v>
      </c>
      <c r="N96" s="73">
        <v>21.92</v>
      </c>
      <c r="O96" s="61">
        <v>6.6308000000000007</v>
      </c>
      <c r="P96" s="64">
        <v>103886.73065724761</v>
      </c>
      <c r="Q96" s="64">
        <v>3800000</v>
      </c>
      <c r="R96" s="64">
        <v>38000000</v>
      </c>
      <c r="S96" s="64"/>
      <c r="T96" s="64"/>
      <c r="U96" s="64"/>
      <c r="V96" s="64"/>
      <c r="W96" s="66">
        <v>380000</v>
      </c>
      <c r="X96" s="67">
        <v>4180000</v>
      </c>
      <c r="Y96" s="68"/>
      <c r="Z96" s="69">
        <v>3800000</v>
      </c>
      <c r="AA96" s="70" t="s">
        <v>362</v>
      </c>
      <c r="AB96" s="71">
        <v>9.42</v>
      </c>
      <c r="AC96" s="71">
        <v>4.3499999999999996</v>
      </c>
      <c r="AD96" s="71">
        <v>32.42</v>
      </c>
      <c r="AE96" s="71">
        <v>36.770000000000003</v>
      </c>
      <c r="AF96" s="71">
        <v>46.19</v>
      </c>
    </row>
    <row r="97" spans="1:32" s="72" customFormat="1">
      <c r="A97" s="82" t="s">
        <v>95</v>
      </c>
      <c r="B97" s="60" t="s">
        <v>474</v>
      </c>
      <c r="C97" s="126" t="s">
        <v>406</v>
      </c>
      <c r="D97" s="62">
        <v>75.63</v>
      </c>
      <c r="E97" s="17">
        <v>22.878074999999999</v>
      </c>
      <c r="F97" s="73">
        <v>128.85</v>
      </c>
      <c r="G97" s="17">
        <v>38.977124999999994</v>
      </c>
      <c r="H97" s="74">
        <v>12.32</v>
      </c>
      <c r="I97" s="63">
        <v>3.7267999999999999</v>
      </c>
      <c r="J97" s="74">
        <v>40.9</v>
      </c>
      <c r="K97" s="63">
        <v>12.372249999999999</v>
      </c>
      <c r="L97" s="74">
        <v>53.22</v>
      </c>
      <c r="M97" s="63">
        <v>16.099049999999998</v>
      </c>
      <c r="N97" s="73">
        <v>23.36</v>
      </c>
      <c r="O97" s="61">
        <v>7.0663999999999998</v>
      </c>
      <c r="P97" s="64">
        <v>107755.51044362561</v>
      </c>
      <c r="Q97" s="64">
        <v>4200000</v>
      </c>
      <c r="R97" s="64">
        <v>42000000</v>
      </c>
      <c r="S97" s="64"/>
      <c r="T97" s="64"/>
      <c r="U97" s="64"/>
      <c r="V97" s="64"/>
      <c r="W97" s="66">
        <v>420000</v>
      </c>
      <c r="X97" s="67">
        <v>4620000</v>
      </c>
      <c r="Y97" s="68"/>
      <c r="Z97" s="69">
        <v>4200000</v>
      </c>
      <c r="AA97" s="70" t="s">
        <v>362</v>
      </c>
      <c r="AB97" s="71">
        <v>10.029999999999999</v>
      </c>
      <c r="AC97" s="71">
        <v>4.6399999999999997</v>
      </c>
      <c r="AD97" s="71">
        <v>34.54</v>
      </c>
      <c r="AE97" s="71">
        <v>39.18</v>
      </c>
      <c r="AF97" s="71">
        <v>49.209999999999994</v>
      </c>
    </row>
    <row r="98" spans="1:32" s="72" customFormat="1">
      <c r="A98" s="82" t="s">
        <v>96</v>
      </c>
      <c r="B98" s="114" t="s">
        <v>370</v>
      </c>
      <c r="C98" s="126" t="s">
        <v>406</v>
      </c>
      <c r="D98" s="62">
        <v>80.010000000000005</v>
      </c>
      <c r="E98" s="17">
        <v>24.203025</v>
      </c>
      <c r="F98" s="73">
        <v>136.30000000000001</v>
      </c>
      <c r="G98" s="17">
        <v>41.23075</v>
      </c>
      <c r="H98" s="74">
        <v>13.02</v>
      </c>
      <c r="I98" s="63">
        <v>3.9385499999999998</v>
      </c>
      <c r="J98" s="74">
        <v>43.269999999999996</v>
      </c>
      <c r="K98" s="63">
        <v>13.089174999999999</v>
      </c>
      <c r="L98" s="74">
        <v>56.289999999999992</v>
      </c>
      <c r="M98" s="63">
        <v>17.027724999999997</v>
      </c>
      <c r="N98" s="73">
        <v>24.71</v>
      </c>
      <c r="O98" s="61">
        <v>7.4747750000000002</v>
      </c>
      <c r="P98" s="64">
        <v>102472.06272017851</v>
      </c>
      <c r="Q98" s="64">
        <v>4225000</v>
      </c>
      <c r="R98" s="64">
        <v>42250000</v>
      </c>
      <c r="S98" s="64"/>
      <c r="T98" s="64"/>
      <c r="U98" s="64"/>
      <c r="V98" s="64"/>
      <c r="W98" s="66">
        <v>422500</v>
      </c>
      <c r="X98" s="67">
        <v>4647500</v>
      </c>
      <c r="Y98" s="68"/>
      <c r="Z98" s="69">
        <v>4225000</v>
      </c>
      <c r="AA98" s="70" t="s">
        <v>407</v>
      </c>
      <c r="AB98" s="71">
        <v>31.77</v>
      </c>
      <c r="AC98" s="71">
        <v>4.91</v>
      </c>
      <c r="AD98" s="71">
        <v>57.87</v>
      </c>
      <c r="AE98" s="71">
        <v>62.78</v>
      </c>
      <c r="AF98" s="71">
        <v>94.55</v>
      </c>
    </row>
    <row r="99" spans="1:32">
      <c r="A99" s="22" t="s">
        <v>97</v>
      </c>
      <c r="B99" s="16" t="s">
        <v>474</v>
      </c>
      <c r="C99" s="126" t="s">
        <v>406</v>
      </c>
      <c r="D99" s="18">
        <v>165.2</v>
      </c>
      <c r="E99" s="17">
        <v>49.972999999999992</v>
      </c>
      <c r="F99" s="73">
        <v>281.44</v>
      </c>
      <c r="G99" s="17">
        <v>85.135599999999997</v>
      </c>
      <c r="H99" s="74">
        <v>26.9</v>
      </c>
      <c r="I99" s="45">
        <v>8.1372499999999999</v>
      </c>
      <c r="J99" s="74">
        <v>89.34</v>
      </c>
      <c r="K99" s="45">
        <v>27.02535</v>
      </c>
      <c r="L99" s="74">
        <v>116.24000000000001</v>
      </c>
      <c r="M99" s="45">
        <v>35.162600000000005</v>
      </c>
      <c r="N99" s="73">
        <v>51.02</v>
      </c>
      <c r="O99" s="17">
        <v>15.43355</v>
      </c>
      <c r="P99" s="19">
        <v>70475.805655918331</v>
      </c>
      <c r="Q99" s="19">
        <v>6000000</v>
      </c>
      <c r="R99" s="19">
        <v>60000000</v>
      </c>
      <c r="S99" s="19"/>
      <c r="T99" s="19"/>
      <c r="U99" s="19"/>
      <c r="V99" s="19"/>
      <c r="W99" s="38">
        <v>600000</v>
      </c>
      <c r="X99" s="40">
        <v>6600000</v>
      </c>
      <c r="Y99" s="39"/>
      <c r="Z99" s="25">
        <v>6000000</v>
      </c>
      <c r="AA99" s="13" t="s">
        <v>362</v>
      </c>
      <c r="AB99" s="42">
        <v>21.92</v>
      </c>
      <c r="AC99" s="42">
        <v>10.14</v>
      </c>
      <c r="AD99" s="42">
        <v>75.45</v>
      </c>
      <c r="AE99" s="42">
        <v>85.59</v>
      </c>
      <c r="AF99" s="42">
        <v>107.51</v>
      </c>
    </row>
    <row r="100" spans="1:32">
      <c r="A100" s="404" t="s">
        <v>411</v>
      </c>
      <c r="B100" s="405"/>
      <c r="C100" s="125">
        <v>19</v>
      </c>
      <c r="D100" s="27">
        <v>2315.9</v>
      </c>
      <c r="E100" s="27">
        <v>700.55974999999989</v>
      </c>
      <c r="F100" s="27">
        <v>4277.55</v>
      </c>
      <c r="G100" s="27">
        <v>1293.958875</v>
      </c>
      <c r="H100" s="27">
        <v>539.76</v>
      </c>
      <c r="I100" s="27">
        <v>163.2774</v>
      </c>
      <c r="J100" s="27">
        <v>1421.89</v>
      </c>
      <c r="K100" s="27">
        <v>430.12172500000003</v>
      </c>
      <c r="L100" s="27">
        <v>1961.6500000000003</v>
      </c>
      <c r="M100" s="27">
        <v>593.39912500000003</v>
      </c>
      <c r="N100" s="27">
        <v>774.34</v>
      </c>
      <c r="O100" s="27">
        <v>234.23785000000001</v>
      </c>
      <c r="P100" s="28">
        <v>82212.040935226789</v>
      </c>
      <c r="Q100" s="28">
        <v>106379000</v>
      </c>
      <c r="R100" s="28">
        <v>1063790000</v>
      </c>
      <c r="S100" s="28"/>
      <c r="T100" s="28">
        <v>0</v>
      </c>
      <c r="U100" s="28">
        <v>0</v>
      </c>
      <c r="V100" s="28">
        <v>0</v>
      </c>
      <c r="W100" s="28">
        <v>10352600</v>
      </c>
      <c r="X100" s="28">
        <v>113878600</v>
      </c>
      <c r="Y100" s="39"/>
      <c r="Z100" s="25"/>
      <c r="AB100" s="42"/>
      <c r="AC100" s="42"/>
      <c r="AD100" s="42"/>
      <c r="AE100" s="42"/>
      <c r="AF100" s="42"/>
    </row>
    <row r="101" spans="1:32">
      <c r="A101" s="22" t="s">
        <v>98</v>
      </c>
      <c r="B101" s="16" t="s">
        <v>436</v>
      </c>
      <c r="C101" s="126" t="s">
        <v>406</v>
      </c>
      <c r="D101" s="18">
        <v>73.3</v>
      </c>
      <c r="E101" s="17">
        <v>22.173249999999999</v>
      </c>
      <c r="F101" s="18">
        <v>159.92000000000002</v>
      </c>
      <c r="G101" s="17">
        <v>48.375800000000005</v>
      </c>
      <c r="H101" s="45">
        <v>29.1</v>
      </c>
      <c r="I101" s="45">
        <v>8.8027499999999996</v>
      </c>
      <c r="J101" s="45">
        <v>57.52</v>
      </c>
      <c r="K101" s="45">
        <v>17.399799999999999</v>
      </c>
      <c r="L101" s="45">
        <v>86.62</v>
      </c>
      <c r="M101" s="45">
        <v>26.202550000000002</v>
      </c>
      <c r="N101" s="18">
        <v>24.24</v>
      </c>
      <c r="O101" s="17">
        <v>7.3325999999999993</v>
      </c>
      <c r="P101" s="19">
        <v>50920</v>
      </c>
      <c r="Q101" s="19">
        <v>2463000</v>
      </c>
      <c r="R101" s="19">
        <v>24630000</v>
      </c>
      <c r="S101" s="19"/>
      <c r="T101" s="19"/>
      <c r="U101" s="19"/>
      <c r="V101" s="19"/>
      <c r="W101" s="38">
        <v>246300</v>
      </c>
      <c r="X101" s="40">
        <v>2709300</v>
      </c>
      <c r="Y101" s="39"/>
      <c r="Z101" s="25">
        <v>2463000</v>
      </c>
      <c r="AA101" s="13" t="s">
        <v>362</v>
      </c>
      <c r="AB101" s="42">
        <v>29.1</v>
      </c>
      <c r="AC101" s="42">
        <v>4.5</v>
      </c>
      <c r="AD101" s="42">
        <v>53.02</v>
      </c>
      <c r="AE101" s="42">
        <v>57.52</v>
      </c>
      <c r="AF101" s="42">
        <v>86.62</v>
      </c>
    </row>
    <row r="102" spans="1:32">
      <c r="A102" s="22" t="s">
        <v>99</v>
      </c>
      <c r="B102" s="16" t="s">
        <v>436</v>
      </c>
      <c r="C102" s="126" t="s">
        <v>408</v>
      </c>
      <c r="D102" s="18">
        <v>50.34</v>
      </c>
      <c r="E102" s="17">
        <v>15.22785</v>
      </c>
      <c r="F102" s="18">
        <v>109.83</v>
      </c>
      <c r="G102" s="17">
        <v>33.223574999999997</v>
      </c>
      <c r="H102" s="45">
        <v>19.989999999999998</v>
      </c>
      <c r="I102" s="45">
        <v>6.0469749999999998</v>
      </c>
      <c r="J102" s="45">
        <v>39.5</v>
      </c>
      <c r="K102" s="45">
        <v>11.94875</v>
      </c>
      <c r="L102" s="45">
        <v>59.489999999999995</v>
      </c>
      <c r="M102" s="45">
        <v>17.995724999999997</v>
      </c>
      <c r="N102" s="18">
        <v>16.649999999999999</v>
      </c>
      <c r="O102" s="17">
        <v>5.036624999999999</v>
      </c>
      <c r="P102" s="19"/>
      <c r="Q102" s="19"/>
      <c r="R102" s="19"/>
      <c r="S102" s="19">
        <v>22035557.582228888</v>
      </c>
      <c r="T102" s="19">
        <v>329445000</v>
      </c>
      <c r="U102" s="19">
        <v>402655000.00000006</v>
      </c>
      <c r="V102" s="19">
        <v>732100000</v>
      </c>
      <c r="W102" s="38">
        <v>40265500.000000007</v>
      </c>
      <c r="X102" s="40">
        <v>772365500</v>
      </c>
      <c r="Y102" s="39">
        <v>77236550</v>
      </c>
      <c r="Z102" s="25"/>
      <c r="AA102" s="13" t="s">
        <v>362</v>
      </c>
      <c r="AB102" s="42">
        <v>19.989999999999998</v>
      </c>
      <c r="AC102" s="42">
        <v>3.09</v>
      </c>
      <c r="AD102" s="42">
        <v>36.409999999999997</v>
      </c>
      <c r="AE102" s="42">
        <v>39.5</v>
      </c>
      <c r="AF102" s="42">
        <v>59.489999999999995</v>
      </c>
    </row>
    <row r="103" spans="1:32">
      <c r="A103" s="22" t="s">
        <v>100</v>
      </c>
      <c r="B103" s="16" t="s">
        <v>436</v>
      </c>
      <c r="C103" s="126" t="s">
        <v>408</v>
      </c>
      <c r="D103" s="18">
        <v>81.66</v>
      </c>
      <c r="E103" s="17">
        <v>24.70215</v>
      </c>
      <c r="F103" s="18">
        <v>178.16</v>
      </c>
      <c r="G103" s="17">
        <v>53.8934</v>
      </c>
      <c r="H103" s="45">
        <v>32.42</v>
      </c>
      <c r="I103" s="45">
        <v>9.8070500000000003</v>
      </c>
      <c r="J103" s="45">
        <v>64.08</v>
      </c>
      <c r="K103" s="45">
        <v>19.3842</v>
      </c>
      <c r="L103" s="45">
        <v>96.5</v>
      </c>
      <c r="M103" s="45">
        <v>29.19125</v>
      </c>
      <c r="N103" s="18">
        <v>27</v>
      </c>
      <c r="O103" s="17">
        <v>8.1675000000000004</v>
      </c>
      <c r="P103" s="19"/>
      <c r="Q103" s="19"/>
      <c r="R103" s="19"/>
      <c r="S103" s="19">
        <v>22041660.017738722</v>
      </c>
      <c r="T103" s="19">
        <v>534555000</v>
      </c>
      <c r="U103" s="19">
        <v>653345000</v>
      </c>
      <c r="V103" s="19">
        <v>1187900000</v>
      </c>
      <c r="W103" s="38">
        <v>65334500</v>
      </c>
      <c r="X103" s="40">
        <v>1253234500</v>
      </c>
      <c r="Y103" s="39">
        <v>125323450</v>
      </c>
      <c r="Z103" s="25"/>
      <c r="AA103" s="13" t="s">
        <v>362</v>
      </c>
      <c r="AB103" s="42">
        <v>32.42</v>
      </c>
      <c r="AC103" s="42">
        <v>5.01</v>
      </c>
      <c r="AD103" s="42">
        <v>59.07</v>
      </c>
      <c r="AE103" s="42">
        <v>64.08</v>
      </c>
      <c r="AF103" s="42">
        <v>96.5</v>
      </c>
    </row>
    <row r="104" spans="1:32">
      <c r="A104" s="22" t="s">
        <v>101</v>
      </c>
      <c r="B104" s="16" t="s">
        <v>436</v>
      </c>
      <c r="C104" s="126" t="s">
        <v>408</v>
      </c>
      <c r="D104" s="18">
        <v>98.33</v>
      </c>
      <c r="E104" s="17">
        <v>29.744824999999999</v>
      </c>
      <c r="F104" s="18">
        <v>214.51999999999998</v>
      </c>
      <c r="G104" s="17">
        <v>64.892299999999992</v>
      </c>
      <c r="H104" s="45">
        <v>39.04</v>
      </c>
      <c r="I104" s="45">
        <v>11.8096</v>
      </c>
      <c r="J104" s="45">
        <v>77.150000000000006</v>
      </c>
      <c r="K104" s="45">
        <v>23.337875</v>
      </c>
      <c r="L104" s="45">
        <v>116.19</v>
      </c>
      <c r="M104" s="45">
        <v>35.147475</v>
      </c>
      <c r="N104" s="18">
        <v>32.520000000000003</v>
      </c>
      <c r="O104" s="17">
        <v>9.8373000000000008</v>
      </c>
      <c r="P104" s="19"/>
      <c r="Q104" s="19"/>
      <c r="R104" s="19"/>
      <c r="S104" s="19">
        <v>22042676.866130497</v>
      </c>
      <c r="T104" s="19">
        <v>643680000</v>
      </c>
      <c r="U104" s="19">
        <v>786720000.00000012</v>
      </c>
      <c r="V104" s="19">
        <v>1430400000</v>
      </c>
      <c r="W104" s="38">
        <v>78672000.000000015</v>
      </c>
      <c r="X104" s="40">
        <v>1509072000</v>
      </c>
      <c r="Y104" s="39">
        <v>150907200</v>
      </c>
      <c r="Z104" s="21"/>
      <c r="AA104" s="13" t="s">
        <v>362</v>
      </c>
      <c r="AB104" s="42">
        <v>39.04</v>
      </c>
      <c r="AC104" s="42">
        <v>6.03</v>
      </c>
      <c r="AD104" s="42">
        <v>71.12</v>
      </c>
      <c r="AE104" s="42">
        <v>77.150000000000006</v>
      </c>
      <c r="AF104" s="42">
        <v>116.19</v>
      </c>
    </row>
    <row r="105" spans="1:32">
      <c r="A105" s="22" t="s">
        <v>102</v>
      </c>
      <c r="B105" s="16" t="s">
        <v>436</v>
      </c>
      <c r="C105" s="126" t="s">
        <v>408</v>
      </c>
      <c r="D105" s="18">
        <v>98.49</v>
      </c>
      <c r="E105" s="17">
        <v>29.793224999999996</v>
      </c>
      <c r="F105" s="18">
        <v>214.87</v>
      </c>
      <c r="G105" s="17">
        <v>64.998175000000003</v>
      </c>
      <c r="H105" s="45">
        <v>39.1</v>
      </c>
      <c r="I105" s="45">
        <v>11.82775</v>
      </c>
      <c r="J105" s="45">
        <v>77.28</v>
      </c>
      <c r="K105" s="45">
        <v>23.377199999999998</v>
      </c>
      <c r="L105" s="45">
        <v>116.38</v>
      </c>
      <c r="M105" s="45">
        <v>35.204949999999997</v>
      </c>
      <c r="N105" s="18">
        <v>32.57</v>
      </c>
      <c r="O105" s="17">
        <v>9.8524250000000002</v>
      </c>
      <c r="P105" s="19"/>
      <c r="Q105" s="19"/>
      <c r="R105" s="19"/>
      <c r="S105" s="19">
        <v>22046772.851699296</v>
      </c>
      <c r="T105" s="19">
        <v>644850000</v>
      </c>
      <c r="U105" s="19">
        <v>788150000.00000012</v>
      </c>
      <c r="V105" s="19">
        <v>1433000000</v>
      </c>
      <c r="W105" s="38">
        <v>78815000.000000015</v>
      </c>
      <c r="X105" s="40">
        <v>1511815000</v>
      </c>
      <c r="Y105" s="39">
        <v>151181500</v>
      </c>
      <c r="Z105" s="21"/>
      <c r="AA105" s="13" t="s">
        <v>362</v>
      </c>
      <c r="AB105" s="42">
        <v>39.1</v>
      </c>
      <c r="AC105" s="42">
        <v>6.04</v>
      </c>
      <c r="AD105" s="42">
        <v>71.239999999999995</v>
      </c>
      <c r="AE105" s="42">
        <v>77.28</v>
      </c>
      <c r="AF105" s="42">
        <v>116.38</v>
      </c>
    </row>
    <row r="106" spans="1:32">
      <c r="A106" s="22" t="s">
        <v>103</v>
      </c>
      <c r="B106" s="16" t="s">
        <v>436</v>
      </c>
      <c r="C106" s="126" t="s">
        <v>408</v>
      </c>
      <c r="D106" s="18">
        <v>98.49</v>
      </c>
      <c r="E106" s="17">
        <v>29.793224999999996</v>
      </c>
      <c r="F106" s="18">
        <v>214.87</v>
      </c>
      <c r="G106" s="17">
        <v>64.998175000000003</v>
      </c>
      <c r="H106" s="45">
        <v>39.1</v>
      </c>
      <c r="I106" s="45">
        <v>11.82775</v>
      </c>
      <c r="J106" s="45">
        <v>77.28</v>
      </c>
      <c r="K106" s="45">
        <v>23.377199999999998</v>
      </c>
      <c r="L106" s="45">
        <v>116.38</v>
      </c>
      <c r="M106" s="45">
        <v>35.204949999999997</v>
      </c>
      <c r="N106" s="18">
        <v>32.57</v>
      </c>
      <c r="O106" s="17">
        <v>9.8524250000000002</v>
      </c>
      <c r="P106" s="19"/>
      <c r="Q106" s="19"/>
      <c r="R106" s="19"/>
      <c r="S106" s="19">
        <v>22046772.851699296</v>
      </c>
      <c r="T106" s="19">
        <v>644850000</v>
      </c>
      <c r="U106" s="19">
        <v>788150000.00000012</v>
      </c>
      <c r="V106" s="19">
        <v>1433000000</v>
      </c>
      <c r="W106" s="38">
        <v>78815000.000000015</v>
      </c>
      <c r="X106" s="40">
        <v>1511815000</v>
      </c>
      <c r="Y106" s="39">
        <v>151181500</v>
      </c>
      <c r="Z106" s="21"/>
      <c r="AA106" s="13" t="s">
        <v>362</v>
      </c>
      <c r="AB106" s="42">
        <v>39.1</v>
      </c>
      <c r="AC106" s="42">
        <v>6.04</v>
      </c>
      <c r="AD106" s="42">
        <v>71.239999999999995</v>
      </c>
      <c r="AE106" s="42">
        <v>77.28</v>
      </c>
      <c r="AF106" s="42">
        <v>116.38</v>
      </c>
    </row>
    <row r="107" spans="1:32">
      <c r="A107" s="22" t="s">
        <v>104</v>
      </c>
      <c r="B107" s="16" t="s">
        <v>436</v>
      </c>
      <c r="C107" s="126" t="s">
        <v>408</v>
      </c>
      <c r="D107" s="18">
        <v>98.49</v>
      </c>
      <c r="E107" s="17">
        <v>29.793224999999996</v>
      </c>
      <c r="F107" s="18">
        <v>214.87</v>
      </c>
      <c r="G107" s="17">
        <v>64.998175000000003</v>
      </c>
      <c r="H107" s="45">
        <v>39.1</v>
      </c>
      <c r="I107" s="45">
        <v>11.82775</v>
      </c>
      <c r="J107" s="45">
        <v>77.28</v>
      </c>
      <c r="K107" s="45">
        <v>23.377199999999998</v>
      </c>
      <c r="L107" s="45">
        <v>116.38</v>
      </c>
      <c r="M107" s="45">
        <v>35.204949999999997</v>
      </c>
      <c r="N107" s="18">
        <v>32.57</v>
      </c>
      <c r="O107" s="17">
        <v>9.8524250000000002</v>
      </c>
      <c r="P107" s="19"/>
      <c r="Q107" s="19"/>
      <c r="R107" s="19"/>
      <c r="S107" s="19">
        <v>22046772.851699296</v>
      </c>
      <c r="T107" s="19">
        <v>644850000</v>
      </c>
      <c r="U107" s="19">
        <v>788150000.00000012</v>
      </c>
      <c r="V107" s="19">
        <v>1433000000</v>
      </c>
      <c r="W107" s="38">
        <v>78815000.000000015</v>
      </c>
      <c r="X107" s="40">
        <v>1511815000</v>
      </c>
      <c r="Y107" s="39">
        <v>151181500</v>
      </c>
      <c r="Z107" s="21"/>
      <c r="AA107" s="13" t="s">
        <v>362</v>
      </c>
      <c r="AB107" s="42">
        <v>39.1</v>
      </c>
      <c r="AC107" s="42">
        <v>6.04</v>
      </c>
      <c r="AD107" s="42">
        <v>71.239999999999995</v>
      </c>
      <c r="AE107" s="42">
        <v>77.28</v>
      </c>
      <c r="AF107" s="42">
        <v>116.38</v>
      </c>
    </row>
    <row r="108" spans="1:32">
      <c r="A108" s="22" t="s">
        <v>105</v>
      </c>
      <c r="B108" s="16" t="s">
        <v>436</v>
      </c>
      <c r="C108" s="126" t="s">
        <v>408</v>
      </c>
      <c r="D108" s="18">
        <v>98.49</v>
      </c>
      <c r="E108" s="17">
        <v>29.793224999999996</v>
      </c>
      <c r="F108" s="18">
        <v>214.87</v>
      </c>
      <c r="G108" s="17">
        <v>64.998175000000003</v>
      </c>
      <c r="H108" s="45">
        <v>39.1</v>
      </c>
      <c r="I108" s="45">
        <v>11.82775</v>
      </c>
      <c r="J108" s="45">
        <v>77.28</v>
      </c>
      <c r="K108" s="45">
        <v>23.377199999999998</v>
      </c>
      <c r="L108" s="45">
        <v>116.38</v>
      </c>
      <c r="M108" s="45">
        <v>35.204949999999997</v>
      </c>
      <c r="N108" s="18">
        <v>32.57</v>
      </c>
      <c r="O108" s="17">
        <v>9.8524250000000002</v>
      </c>
      <c r="P108" s="19"/>
      <c r="Q108" s="19"/>
      <c r="R108" s="19"/>
      <c r="S108" s="19">
        <v>22046772.851699296</v>
      </c>
      <c r="T108" s="19">
        <v>644850000</v>
      </c>
      <c r="U108" s="19">
        <v>788150000.00000012</v>
      </c>
      <c r="V108" s="19">
        <v>1433000000</v>
      </c>
      <c r="W108" s="38">
        <v>78815000.000000015</v>
      </c>
      <c r="X108" s="40">
        <v>1511815000</v>
      </c>
      <c r="Y108" s="39">
        <v>151181500</v>
      </c>
      <c r="Z108" s="21"/>
      <c r="AA108" s="13" t="s">
        <v>362</v>
      </c>
      <c r="AB108" s="42">
        <v>39.1</v>
      </c>
      <c r="AC108" s="42">
        <v>6.04</v>
      </c>
      <c r="AD108" s="42">
        <v>71.239999999999995</v>
      </c>
      <c r="AE108" s="42">
        <v>77.28</v>
      </c>
      <c r="AF108" s="42">
        <v>116.38</v>
      </c>
    </row>
    <row r="109" spans="1:32">
      <c r="A109" s="22" t="s">
        <v>106</v>
      </c>
      <c r="B109" s="16" t="s">
        <v>436</v>
      </c>
      <c r="C109" s="126" t="s">
        <v>408</v>
      </c>
      <c r="D109" s="18">
        <v>98.49</v>
      </c>
      <c r="E109" s="17">
        <v>29.793224999999996</v>
      </c>
      <c r="F109" s="18">
        <v>214.87</v>
      </c>
      <c r="G109" s="17">
        <v>64.998175000000003</v>
      </c>
      <c r="H109" s="45">
        <v>39.1</v>
      </c>
      <c r="I109" s="45">
        <v>11.82775</v>
      </c>
      <c r="J109" s="45">
        <v>77.28</v>
      </c>
      <c r="K109" s="45">
        <v>23.377199999999998</v>
      </c>
      <c r="L109" s="45">
        <v>116.38</v>
      </c>
      <c r="M109" s="45">
        <v>35.204949999999997</v>
      </c>
      <c r="N109" s="18">
        <v>32.57</v>
      </c>
      <c r="O109" s="17">
        <v>9.8524250000000002</v>
      </c>
      <c r="P109" s="19"/>
      <c r="Q109" s="19"/>
      <c r="R109" s="19"/>
      <c r="S109" s="19">
        <v>22046772.851699296</v>
      </c>
      <c r="T109" s="19">
        <v>644850000</v>
      </c>
      <c r="U109" s="19">
        <v>788150000.00000012</v>
      </c>
      <c r="V109" s="19">
        <v>1433000000</v>
      </c>
      <c r="W109" s="38">
        <v>78815000.000000015</v>
      </c>
      <c r="X109" s="40">
        <v>1511815000</v>
      </c>
      <c r="Y109" s="39">
        <v>151181500</v>
      </c>
      <c r="Z109" s="21"/>
      <c r="AA109" s="13" t="s">
        <v>362</v>
      </c>
      <c r="AB109" s="42">
        <v>39.1</v>
      </c>
      <c r="AC109" s="42">
        <v>6.04</v>
      </c>
      <c r="AD109" s="42">
        <v>71.239999999999995</v>
      </c>
      <c r="AE109" s="42">
        <v>77.28</v>
      </c>
      <c r="AF109" s="42">
        <v>116.38</v>
      </c>
    </row>
    <row r="110" spans="1:32">
      <c r="A110" s="22" t="s">
        <v>107</v>
      </c>
      <c r="B110" s="16" t="s">
        <v>436</v>
      </c>
      <c r="C110" s="126" t="s">
        <v>408</v>
      </c>
      <c r="D110" s="18">
        <v>118.42</v>
      </c>
      <c r="E110" s="17">
        <v>35.822049999999997</v>
      </c>
      <c r="F110" s="18">
        <v>258.36</v>
      </c>
      <c r="G110" s="17">
        <v>78.153900000000007</v>
      </c>
      <c r="H110" s="45">
        <v>47.02</v>
      </c>
      <c r="I110" s="45">
        <v>14.223550000000001</v>
      </c>
      <c r="J110" s="45">
        <v>92.92</v>
      </c>
      <c r="K110" s="45">
        <v>28.1083</v>
      </c>
      <c r="L110" s="45">
        <v>139.94</v>
      </c>
      <c r="M110" s="45">
        <v>42.331849999999996</v>
      </c>
      <c r="N110" s="18">
        <v>39.159999999999997</v>
      </c>
      <c r="O110" s="17">
        <v>11.845899999999999</v>
      </c>
      <c r="P110" s="19"/>
      <c r="Q110" s="19"/>
      <c r="R110" s="19"/>
      <c r="S110" s="19">
        <v>22039847.019790437</v>
      </c>
      <c r="T110" s="19">
        <v>775125000</v>
      </c>
      <c r="U110" s="19">
        <v>947375000.00000012</v>
      </c>
      <c r="V110" s="19">
        <v>1722500000</v>
      </c>
      <c r="W110" s="38">
        <v>94737500.000000015</v>
      </c>
      <c r="X110" s="40">
        <v>1817237500</v>
      </c>
      <c r="Y110" s="39">
        <v>181723750</v>
      </c>
      <c r="Z110" s="21"/>
      <c r="AA110" s="13" t="s">
        <v>362</v>
      </c>
      <c r="AB110" s="42">
        <v>47.02</v>
      </c>
      <c r="AC110" s="42">
        <v>7.27</v>
      </c>
      <c r="AD110" s="42">
        <v>85.65</v>
      </c>
      <c r="AE110" s="42">
        <v>92.92</v>
      </c>
      <c r="AF110" s="42">
        <v>139.94</v>
      </c>
    </row>
    <row r="111" spans="1:32">
      <c r="A111" s="22" t="s">
        <v>108</v>
      </c>
      <c r="B111" s="16" t="s">
        <v>436</v>
      </c>
      <c r="C111" s="126" t="s">
        <v>408</v>
      </c>
      <c r="D111" s="18">
        <v>173.53</v>
      </c>
      <c r="E111" s="17">
        <v>52.492824999999996</v>
      </c>
      <c r="F111" s="18">
        <v>378.6</v>
      </c>
      <c r="G111" s="17">
        <v>114.5265</v>
      </c>
      <c r="H111" s="45">
        <v>68.900000000000006</v>
      </c>
      <c r="I111" s="45">
        <v>20.84225</v>
      </c>
      <c r="J111" s="45">
        <v>136.16999999999999</v>
      </c>
      <c r="K111" s="45">
        <v>41.191424999999995</v>
      </c>
      <c r="L111" s="45">
        <v>205.07</v>
      </c>
      <c r="M111" s="45">
        <v>62.033674999999995</v>
      </c>
      <c r="N111" s="18">
        <v>57.38</v>
      </c>
      <c r="O111" s="17">
        <v>17.35745</v>
      </c>
      <c r="P111" s="19"/>
      <c r="Q111" s="19"/>
      <c r="R111" s="19"/>
      <c r="S111" s="19">
        <v>22040313.813833479</v>
      </c>
      <c r="T111" s="19">
        <v>1135890000</v>
      </c>
      <c r="U111" s="19">
        <v>1388310000</v>
      </c>
      <c r="V111" s="19">
        <v>2524200000</v>
      </c>
      <c r="W111" s="38">
        <v>138831000</v>
      </c>
      <c r="X111" s="40">
        <v>2663031000</v>
      </c>
      <c r="Y111" s="39">
        <v>266303100</v>
      </c>
      <c r="Z111" s="21"/>
      <c r="AA111" s="13" t="s">
        <v>362</v>
      </c>
      <c r="AB111" s="42">
        <v>68.900000000000006</v>
      </c>
      <c r="AC111" s="42">
        <v>10.65</v>
      </c>
      <c r="AD111" s="42">
        <v>125.52</v>
      </c>
      <c r="AE111" s="42">
        <v>136.16999999999999</v>
      </c>
      <c r="AF111" s="42">
        <v>205.07</v>
      </c>
    </row>
    <row r="112" spans="1:32">
      <c r="A112" s="22" t="s">
        <v>109</v>
      </c>
      <c r="B112" s="16" t="s">
        <v>436</v>
      </c>
      <c r="C112" s="126" t="s">
        <v>408</v>
      </c>
      <c r="D112" s="18">
        <v>120.28</v>
      </c>
      <c r="E112" s="17">
        <v>36.384700000000002</v>
      </c>
      <c r="F112" s="18">
        <v>262.41999999999996</v>
      </c>
      <c r="G112" s="17">
        <v>79.382049999999978</v>
      </c>
      <c r="H112" s="45">
        <v>47.76</v>
      </c>
      <c r="I112" s="45">
        <v>14.447399999999998</v>
      </c>
      <c r="J112" s="45">
        <v>94.38</v>
      </c>
      <c r="K112" s="45">
        <v>28.549949999999999</v>
      </c>
      <c r="L112" s="45">
        <v>142.13999999999999</v>
      </c>
      <c r="M112" s="45">
        <v>42.997349999999997</v>
      </c>
      <c r="N112" s="18">
        <v>39.770000000000003</v>
      </c>
      <c r="O112" s="17">
        <v>12.030425000000001</v>
      </c>
      <c r="P112" s="19"/>
      <c r="Q112" s="19"/>
      <c r="R112" s="19"/>
      <c r="S112" s="19">
        <v>22042766.595218949</v>
      </c>
      <c r="T112" s="19">
        <v>787410000</v>
      </c>
      <c r="U112" s="19">
        <v>962390000.00000012</v>
      </c>
      <c r="V112" s="19">
        <v>1749800000</v>
      </c>
      <c r="W112" s="38">
        <v>96239000.000000015</v>
      </c>
      <c r="X112" s="40">
        <v>1846039000</v>
      </c>
      <c r="Y112" s="39">
        <v>184603900</v>
      </c>
      <c r="Z112" s="21"/>
      <c r="AA112" s="13" t="s">
        <v>362</v>
      </c>
      <c r="AB112" s="42">
        <v>47.76</v>
      </c>
      <c r="AC112" s="42">
        <v>7.38</v>
      </c>
      <c r="AD112" s="42">
        <v>87</v>
      </c>
      <c r="AE112" s="42">
        <v>94.38</v>
      </c>
      <c r="AF112" s="42">
        <v>142.13999999999999</v>
      </c>
    </row>
    <row r="113" spans="1:32">
      <c r="A113" s="22" t="s">
        <v>110</v>
      </c>
      <c r="B113" s="16" t="s">
        <v>436</v>
      </c>
      <c r="C113" s="126" t="s">
        <v>408</v>
      </c>
      <c r="D113" s="18">
        <v>165.21</v>
      </c>
      <c r="E113" s="17">
        <v>49.976025</v>
      </c>
      <c r="F113" s="18">
        <v>360.44000000000005</v>
      </c>
      <c r="G113" s="17">
        <v>109.03310000000002</v>
      </c>
      <c r="H113" s="45">
        <v>65.59</v>
      </c>
      <c r="I113" s="45">
        <v>19.840975</v>
      </c>
      <c r="J113" s="45">
        <v>129.63999999999999</v>
      </c>
      <c r="K113" s="45">
        <v>39.216099999999997</v>
      </c>
      <c r="L113" s="45">
        <v>195.23000000000002</v>
      </c>
      <c r="M113" s="45">
        <v>59.057075000000005</v>
      </c>
      <c r="N113" s="18">
        <v>54.63</v>
      </c>
      <c r="O113" s="17">
        <v>16.525575</v>
      </c>
      <c r="P113" s="19"/>
      <c r="Q113" s="19"/>
      <c r="R113" s="19"/>
      <c r="S113" s="19">
        <v>22045598.997001823</v>
      </c>
      <c r="T113" s="19">
        <v>1081665000</v>
      </c>
      <c r="U113" s="19">
        <v>1322035000</v>
      </c>
      <c r="V113" s="19">
        <v>2403700000</v>
      </c>
      <c r="W113" s="38">
        <v>132203500</v>
      </c>
      <c r="X113" s="40">
        <v>2535903500</v>
      </c>
      <c r="Y113" s="39">
        <v>253590350</v>
      </c>
      <c r="Z113" s="21"/>
      <c r="AA113" s="13" t="s">
        <v>362</v>
      </c>
      <c r="AB113" s="42">
        <v>65.59</v>
      </c>
      <c r="AC113" s="42">
        <v>10.14</v>
      </c>
      <c r="AD113" s="42">
        <v>119.5</v>
      </c>
      <c r="AE113" s="42">
        <v>129.63999999999999</v>
      </c>
      <c r="AF113" s="42">
        <v>195.23000000000002</v>
      </c>
    </row>
    <row r="114" spans="1:32">
      <c r="A114" s="22" t="s">
        <v>111</v>
      </c>
      <c r="B114" s="16" t="s">
        <v>436</v>
      </c>
      <c r="C114" s="126" t="s">
        <v>408</v>
      </c>
      <c r="D114" s="18">
        <v>100.51</v>
      </c>
      <c r="E114" s="17">
        <v>30.404275000000002</v>
      </c>
      <c r="F114" s="18">
        <v>219.29000000000002</v>
      </c>
      <c r="G114" s="17">
        <v>66.335225000000008</v>
      </c>
      <c r="H114" s="45">
        <v>39.909999999999997</v>
      </c>
      <c r="I114" s="45">
        <v>12.072774999999998</v>
      </c>
      <c r="J114" s="45">
        <v>78.87</v>
      </c>
      <c r="K114" s="45">
        <v>23.858174999999999</v>
      </c>
      <c r="L114" s="45">
        <v>118.78</v>
      </c>
      <c r="M114" s="45">
        <v>35.930950000000003</v>
      </c>
      <c r="N114" s="18">
        <v>33.24</v>
      </c>
      <c r="O114" s="17">
        <v>10.055099999999999</v>
      </c>
      <c r="P114" s="19"/>
      <c r="Q114" s="19"/>
      <c r="R114" s="19"/>
      <c r="S114" s="19">
        <v>20853174.161993116</v>
      </c>
      <c r="T114" s="19">
        <v>622485000</v>
      </c>
      <c r="U114" s="19">
        <v>760815000.00000012</v>
      </c>
      <c r="V114" s="19">
        <v>1383300000</v>
      </c>
      <c r="W114" s="38">
        <v>76081500.000000015</v>
      </c>
      <c r="X114" s="40">
        <v>1459381500</v>
      </c>
      <c r="Y114" s="39">
        <v>145938150</v>
      </c>
      <c r="Z114" s="21"/>
      <c r="AA114" s="13" t="s">
        <v>362</v>
      </c>
      <c r="AB114" s="42">
        <v>39.909999999999997</v>
      </c>
      <c r="AC114" s="42">
        <v>6.17</v>
      </c>
      <c r="AD114" s="42">
        <v>72.7</v>
      </c>
      <c r="AE114" s="42">
        <v>78.87</v>
      </c>
      <c r="AF114" s="42">
        <v>118.78</v>
      </c>
    </row>
    <row r="115" spans="1:32">
      <c r="A115" s="22" t="s">
        <v>112</v>
      </c>
      <c r="B115" s="16" t="s">
        <v>436</v>
      </c>
      <c r="C115" s="126" t="s">
        <v>408</v>
      </c>
      <c r="D115" s="18">
        <v>76.23</v>
      </c>
      <c r="E115" s="17">
        <v>23.059574999999999</v>
      </c>
      <c r="F115" s="18">
        <v>166.32</v>
      </c>
      <c r="G115" s="17">
        <v>50.311799999999998</v>
      </c>
      <c r="H115" s="45">
        <v>30.27</v>
      </c>
      <c r="I115" s="45">
        <v>9.1566749999999999</v>
      </c>
      <c r="J115" s="45">
        <v>59.82</v>
      </c>
      <c r="K115" s="45">
        <v>18.095549999999999</v>
      </c>
      <c r="L115" s="45">
        <v>90.09</v>
      </c>
      <c r="M115" s="45">
        <v>27.252224999999999</v>
      </c>
      <c r="N115" s="18">
        <v>25.21</v>
      </c>
      <c r="O115" s="17">
        <v>7.6260250000000003</v>
      </c>
      <c r="P115" s="19"/>
      <c r="Q115" s="19"/>
      <c r="R115" s="19"/>
      <c r="S115" s="19">
        <v>20847991.922372088</v>
      </c>
      <c r="T115" s="19">
        <v>472005000</v>
      </c>
      <c r="U115" s="19">
        <v>576895000</v>
      </c>
      <c r="V115" s="19">
        <v>1048900000</v>
      </c>
      <c r="W115" s="38">
        <v>57689500</v>
      </c>
      <c r="X115" s="40">
        <v>1106589500</v>
      </c>
      <c r="Y115" s="39">
        <v>110658950</v>
      </c>
      <c r="Z115" s="25"/>
      <c r="AA115" s="13" t="s">
        <v>362</v>
      </c>
      <c r="AB115" s="42">
        <v>30.27</v>
      </c>
      <c r="AC115" s="42">
        <v>4.68</v>
      </c>
      <c r="AD115" s="42">
        <v>55.14</v>
      </c>
      <c r="AE115" s="42">
        <v>59.82</v>
      </c>
      <c r="AF115" s="42">
        <v>90.09</v>
      </c>
    </row>
    <row r="116" spans="1:32">
      <c r="A116" s="22" t="s">
        <v>113</v>
      </c>
      <c r="B116" s="16" t="s">
        <v>436</v>
      </c>
      <c r="C116" s="126" t="s">
        <v>408</v>
      </c>
      <c r="D116" s="18">
        <v>76.23</v>
      </c>
      <c r="E116" s="17">
        <v>23.059574999999999</v>
      </c>
      <c r="F116" s="18">
        <v>166.32</v>
      </c>
      <c r="G116" s="17">
        <v>50.311799999999998</v>
      </c>
      <c r="H116" s="45">
        <v>30.27</v>
      </c>
      <c r="I116" s="45">
        <v>9.1566749999999999</v>
      </c>
      <c r="J116" s="45">
        <v>59.82</v>
      </c>
      <c r="K116" s="45">
        <v>18.095549999999999</v>
      </c>
      <c r="L116" s="45">
        <v>90.09</v>
      </c>
      <c r="M116" s="45">
        <v>27.252224999999999</v>
      </c>
      <c r="N116" s="18">
        <v>25.21</v>
      </c>
      <c r="O116" s="17">
        <v>7.6260250000000003</v>
      </c>
      <c r="P116" s="19"/>
      <c r="Q116" s="19"/>
      <c r="R116" s="19"/>
      <c r="S116" s="19">
        <v>20847991.922372088</v>
      </c>
      <c r="T116" s="19">
        <v>472005000</v>
      </c>
      <c r="U116" s="19">
        <v>576895000</v>
      </c>
      <c r="V116" s="19">
        <v>1048900000</v>
      </c>
      <c r="W116" s="38">
        <v>57689500</v>
      </c>
      <c r="X116" s="40">
        <v>1106589500</v>
      </c>
      <c r="Y116" s="39">
        <v>110658950</v>
      </c>
      <c r="Z116" s="25"/>
      <c r="AA116" s="13" t="s">
        <v>362</v>
      </c>
      <c r="AB116" s="42">
        <v>30.27</v>
      </c>
      <c r="AC116" s="42">
        <v>4.68</v>
      </c>
      <c r="AD116" s="42">
        <v>55.14</v>
      </c>
      <c r="AE116" s="42">
        <v>59.82</v>
      </c>
      <c r="AF116" s="42">
        <v>90.09</v>
      </c>
    </row>
    <row r="117" spans="1:32">
      <c r="A117" s="22" t="s">
        <v>114</v>
      </c>
      <c r="B117" s="16" t="s">
        <v>436</v>
      </c>
      <c r="C117" s="126" t="s">
        <v>408</v>
      </c>
      <c r="D117" s="18">
        <v>76.44</v>
      </c>
      <c r="E117" s="17">
        <v>23.123099999999997</v>
      </c>
      <c r="F117" s="18">
        <v>166.76999999999998</v>
      </c>
      <c r="G117" s="17">
        <v>50.447924999999991</v>
      </c>
      <c r="H117" s="45">
        <v>30.35</v>
      </c>
      <c r="I117" s="45">
        <v>9.1808750000000003</v>
      </c>
      <c r="J117" s="45">
        <v>59.98</v>
      </c>
      <c r="K117" s="45">
        <v>18.14395</v>
      </c>
      <c r="L117" s="45">
        <v>90.33</v>
      </c>
      <c r="M117" s="45">
        <v>27.324824999999997</v>
      </c>
      <c r="N117" s="18">
        <v>25.28</v>
      </c>
      <c r="O117" s="17">
        <v>7.6471999999999998</v>
      </c>
      <c r="P117" s="19"/>
      <c r="Q117" s="19"/>
      <c r="R117" s="19"/>
      <c r="S117" s="19">
        <v>20853186.726708785</v>
      </c>
      <c r="T117" s="19">
        <v>473400000</v>
      </c>
      <c r="U117" s="19">
        <v>578600000</v>
      </c>
      <c r="V117" s="19">
        <v>1052000000</v>
      </c>
      <c r="W117" s="38">
        <v>57860000</v>
      </c>
      <c r="X117" s="40">
        <v>1109860000</v>
      </c>
      <c r="Y117" s="39">
        <v>110986000</v>
      </c>
      <c r="Z117" s="25"/>
      <c r="AA117" s="13" t="s">
        <v>362</v>
      </c>
      <c r="AB117" s="42">
        <v>30.35</v>
      </c>
      <c r="AC117" s="42">
        <v>4.6900000000000004</v>
      </c>
      <c r="AD117" s="42">
        <v>55.29</v>
      </c>
      <c r="AE117" s="42">
        <v>59.98</v>
      </c>
      <c r="AF117" s="42">
        <v>90.33</v>
      </c>
    </row>
    <row r="118" spans="1:32">
      <c r="A118" s="22" t="s">
        <v>115</v>
      </c>
      <c r="B118" s="16" t="s">
        <v>436</v>
      </c>
      <c r="C118" s="126" t="s">
        <v>406</v>
      </c>
      <c r="D118" s="18">
        <v>110.44</v>
      </c>
      <c r="E118" s="17">
        <v>33.408099999999997</v>
      </c>
      <c r="F118" s="18">
        <v>240.95</v>
      </c>
      <c r="G118" s="17">
        <v>72.887374999999992</v>
      </c>
      <c r="H118" s="45">
        <v>43.85</v>
      </c>
      <c r="I118" s="45">
        <v>13.264625000000001</v>
      </c>
      <c r="J118" s="45">
        <v>86.66</v>
      </c>
      <c r="K118" s="45">
        <v>26.214649999999999</v>
      </c>
      <c r="L118" s="45">
        <v>130.51</v>
      </c>
      <c r="M118" s="45">
        <v>39.479274999999994</v>
      </c>
      <c r="N118" s="18">
        <v>36.520000000000003</v>
      </c>
      <c r="O118" s="17">
        <v>11.0473</v>
      </c>
      <c r="P118" s="19">
        <v>49940</v>
      </c>
      <c r="Q118" s="19">
        <v>3639000</v>
      </c>
      <c r="R118" s="19">
        <v>36390000</v>
      </c>
      <c r="S118" s="19"/>
      <c r="T118" s="19"/>
      <c r="U118" s="19"/>
      <c r="V118" s="19"/>
      <c r="W118" s="38">
        <v>363900</v>
      </c>
      <c r="X118" s="40">
        <v>4002900</v>
      </c>
      <c r="Y118" s="39"/>
      <c r="Z118" s="25">
        <v>3639000</v>
      </c>
      <c r="AA118" s="13" t="s">
        <v>362</v>
      </c>
      <c r="AB118" s="42">
        <v>43.85</v>
      </c>
      <c r="AC118" s="42">
        <v>6.78</v>
      </c>
      <c r="AD118" s="42">
        <v>79.88</v>
      </c>
      <c r="AE118" s="42">
        <v>86.66</v>
      </c>
      <c r="AF118" s="42">
        <v>130.51</v>
      </c>
    </row>
    <row r="119" spans="1:32">
      <c r="A119" s="22" t="s">
        <v>116</v>
      </c>
      <c r="B119" s="16" t="s">
        <v>436</v>
      </c>
      <c r="C119" s="126" t="s">
        <v>408</v>
      </c>
      <c r="D119" s="18">
        <v>128.54</v>
      </c>
      <c r="E119" s="17">
        <v>38.883349999999993</v>
      </c>
      <c r="F119" s="18">
        <v>280.42999999999995</v>
      </c>
      <c r="G119" s="17">
        <v>84.830074999999979</v>
      </c>
      <c r="H119" s="45">
        <v>51.03</v>
      </c>
      <c r="I119" s="45">
        <v>15.436574999999999</v>
      </c>
      <c r="J119" s="45">
        <v>100.86</v>
      </c>
      <c r="K119" s="45">
        <v>30.510149999999999</v>
      </c>
      <c r="L119" s="45">
        <v>151.88999999999999</v>
      </c>
      <c r="M119" s="45">
        <v>45.946724999999994</v>
      </c>
      <c r="N119" s="18">
        <v>42.51</v>
      </c>
      <c r="O119" s="17">
        <v>12.859274999999998</v>
      </c>
      <c r="P119" s="19"/>
      <c r="Q119" s="19"/>
      <c r="R119" s="19"/>
      <c r="S119" s="19">
        <v>20855810.866605982</v>
      </c>
      <c r="T119" s="19">
        <v>796140000</v>
      </c>
      <c r="U119" s="19">
        <v>973060000.00000012</v>
      </c>
      <c r="V119" s="19">
        <v>1769200000</v>
      </c>
      <c r="W119" s="38">
        <v>97306000.000000015</v>
      </c>
      <c r="X119" s="40">
        <v>1866506000</v>
      </c>
      <c r="Y119" s="39">
        <v>186650600</v>
      </c>
      <c r="Z119" s="25"/>
      <c r="AA119" s="13" t="s">
        <v>362</v>
      </c>
      <c r="AB119" s="42">
        <v>51.03</v>
      </c>
      <c r="AC119" s="42">
        <v>7.89</v>
      </c>
      <c r="AD119" s="42">
        <v>92.97</v>
      </c>
      <c r="AE119" s="42">
        <v>100.86</v>
      </c>
      <c r="AF119" s="42">
        <v>151.88999999999999</v>
      </c>
    </row>
    <row r="120" spans="1:32">
      <c r="A120" s="22" t="s">
        <v>117</v>
      </c>
      <c r="B120" s="16" t="s">
        <v>436</v>
      </c>
      <c r="C120" s="126" t="s">
        <v>408</v>
      </c>
      <c r="D120" s="18">
        <v>190.29</v>
      </c>
      <c r="E120" s="17">
        <v>57.562724999999993</v>
      </c>
      <c r="F120" s="18">
        <v>415.15999999999997</v>
      </c>
      <c r="G120" s="17">
        <v>125.58589999999998</v>
      </c>
      <c r="H120" s="45">
        <v>75.55</v>
      </c>
      <c r="I120" s="45">
        <v>22.853874999999999</v>
      </c>
      <c r="J120" s="45">
        <v>149.32</v>
      </c>
      <c r="K120" s="45">
        <v>45.1693</v>
      </c>
      <c r="L120" s="45">
        <v>224.86999999999998</v>
      </c>
      <c r="M120" s="45">
        <v>68.023174999999995</v>
      </c>
      <c r="N120" s="18">
        <v>62.93</v>
      </c>
      <c r="O120" s="17">
        <v>19.036324999999998</v>
      </c>
      <c r="P120" s="19"/>
      <c r="Q120" s="19"/>
      <c r="R120" s="19"/>
      <c r="S120" s="19">
        <v>22043875.944672137</v>
      </c>
      <c r="T120" s="19">
        <v>1245780000</v>
      </c>
      <c r="U120" s="19">
        <v>1522620000.0000002</v>
      </c>
      <c r="V120" s="19">
        <v>2768400000</v>
      </c>
      <c r="W120" s="38">
        <v>152262000.00000003</v>
      </c>
      <c r="X120" s="40">
        <v>2920662000</v>
      </c>
      <c r="Y120" s="39">
        <v>292066200</v>
      </c>
      <c r="Z120" s="25"/>
      <c r="AA120" s="13" t="s">
        <v>362</v>
      </c>
      <c r="AB120" s="42">
        <v>75.55</v>
      </c>
      <c r="AC120" s="42">
        <v>11.68</v>
      </c>
      <c r="AD120" s="42">
        <v>137.63999999999999</v>
      </c>
      <c r="AE120" s="42">
        <v>149.32</v>
      </c>
      <c r="AF120" s="42">
        <v>224.86999999999998</v>
      </c>
    </row>
    <row r="121" spans="1:32">
      <c r="A121" s="22" t="s">
        <v>118</v>
      </c>
      <c r="B121" s="16" t="s">
        <v>436</v>
      </c>
      <c r="C121" s="126" t="s">
        <v>408</v>
      </c>
      <c r="D121" s="18">
        <v>73.709999999999994</v>
      </c>
      <c r="E121" s="17">
        <v>22.297274999999999</v>
      </c>
      <c r="F121" s="18">
        <v>160.82</v>
      </c>
      <c r="G121" s="17">
        <v>48.648049999999998</v>
      </c>
      <c r="H121" s="45">
        <v>29.27</v>
      </c>
      <c r="I121" s="45">
        <v>8.8541749999999997</v>
      </c>
      <c r="J121" s="45">
        <v>57.84</v>
      </c>
      <c r="K121" s="45">
        <v>17.496600000000001</v>
      </c>
      <c r="L121" s="45">
        <v>87.11</v>
      </c>
      <c r="M121" s="45">
        <v>26.350774999999999</v>
      </c>
      <c r="N121" s="18">
        <v>24.37</v>
      </c>
      <c r="O121" s="17">
        <v>7.3719250000000001</v>
      </c>
      <c r="P121" s="19"/>
      <c r="Q121" s="19"/>
      <c r="R121" s="19"/>
      <c r="S121" s="19">
        <v>22039937.880346697</v>
      </c>
      <c r="T121" s="19">
        <v>482490000</v>
      </c>
      <c r="U121" s="19">
        <v>589710000</v>
      </c>
      <c r="V121" s="19">
        <v>1072200000</v>
      </c>
      <c r="W121" s="38">
        <v>58971000</v>
      </c>
      <c r="X121" s="40">
        <v>1131171000</v>
      </c>
      <c r="Y121" s="39">
        <v>113117100</v>
      </c>
      <c r="Z121" s="25"/>
      <c r="AA121" s="13" t="s">
        <v>362</v>
      </c>
      <c r="AB121" s="42">
        <v>29.27</v>
      </c>
      <c r="AC121" s="42">
        <v>4.5199999999999996</v>
      </c>
      <c r="AD121" s="42">
        <v>53.32</v>
      </c>
      <c r="AE121" s="42">
        <v>57.84</v>
      </c>
      <c r="AF121" s="42">
        <v>87.11</v>
      </c>
    </row>
    <row r="122" spans="1:32">
      <c r="A122" s="22" t="s">
        <v>119</v>
      </c>
      <c r="B122" s="16" t="s">
        <v>436</v>
      </c>
      <c r="C122" s="126" t="s">
        <v>408</v>
      </c>
      <c r="D122" s="18">
        <v>94.77</v>
      </c>
      <c r="E122" s="17">
        <v>28.667924999999997</v>
      </c>
      <c r="F122" s="18">
        <v>206.76</v>
      </c>
      <c r="G122" s="17">
        <v>62.544899999999998</v>
      </c>
      <c r="H122" s="45">
        <v>37.630000000000003</v>
      </c>
      <c r="I122" s="45">
        <v>11.383075</v>
      </c>
      <c r="J122" s="45">
        <v>74.36</v>
      </c>
      <c r="K122" s="45">
        <v>22.4939</v>
      </c>
      <c r="L122" s="45">
        <v>111.99000000000001</v>
      </c>
      <c r="M122" s="45">
        <v>33.876975000000002</v>
      </c>
      <c r="N122" s="18">
        <v>31.34</v>
      </c>
      <c r="O122" s="17">
        <v>9.4803499999999996</v>
      </c>
      <c r="P122" s="19"/>
      <c r="Q122" s="19"/>
      <c r="R122" s="19"/>
      <c r="S122" s="19">
        <v>22040166.344498113</v>
      </c>
      <c r="T122" s="19">
        <v>620325000</v>
      </c>
      <c r="U122" s="19">
        <v>758175000.00000012</v>
      </c>
      <c r="V122" s="19">
        <v>1378500000</v>
      </c>
      <c r="W122" s="38">
        <v>75817500.000000015</v>
      </c>
      <c r="X122" s="40">
        <v>1454317500</v>
      </c>
      <c r="Y122" s="39">
        <v>145431750</v>
      </c>
      <c r="Z122" s="25"/>
      <c r="AA122" s="13" t="s">
        <v>362</v>
      </c>
      <c r="AB122" s="42">
        <v>37.630000000000003</v>
      </c>
      <c r="AC122" s="42">
        <v>5.81</v>
      </c>
      <c r="AD122" s="42">
        <v>68.55</v>
      </c>
      <c r="AE122" s="42">
        <v>74.36</v>
      </c>
      <c r="AF122" s="42">
        <v>111.99000000000001</v>
      </c>
    </row>
    <row r="123" spans="1:32">
      <c r="A123" s="22" t="s">
        <v>120</v>
      </c>
      <c r="B123" s="16" t="s">
        <v>436</v>
      </c>
      <c r="C123" s="126" t="s">
        <v>408</v>
      </c>
      <c r="D123" s="18">
        <v>73.709999999999994</v>
      </c>
      <c r="E123" s="17">
        <v>22.297274999999999</v>
      </c>
      <c r="F123" s="18">
        <v>160.82</v>
      </c>
      <c r="G123" s="17">
        <v>48.648049999999998</v>
      </c>
      <c r="H123" s="45">
        <v>29.27</v>
      </c>
      <c r="I123" s="45">
        <v>8.8541749999999997</v>
      </c>
      <c r="J123" s="45">
        <v>57.84</v>
      </c>
      <c r="K123" s="45">
        <v>17.496600000000001</v>
      </c>
      <c r="L123" s="45">
        <v>87.11</v>
      </c>
      <c r="M123" s="45">
        <v>26.350774999999999</v>
      </c>
      <c r="N123" s="18">
        <v>24.37</v>
      </c>
      <c r="O123" s="17">
        <v>7.3719250000000001</v>
      </c>
      <c r="P123" s="19"/>
      <c r="Q123" s="19"/>
      <c r="R123" s="19"/>
      <c r="S123" s="19">
        <v>22039937.880346697</v>
      </c>
      <c r="T123" s="19">
        <v>482490000</v>
      </c>
      <c r="U123" s="19">
        <v>589710000</v>
      </c>
      <c r="V123" s="19">
        <v>1072200000</v>
      </c>
      <c r="W123" s="38">
        <v>58971000</v>
      </c>
      <c r="X123" s="40">
        <v>1131171000</v>
      </c>
      <c r="Y123" s="39">
        <v>113117100</v>
      </c>
      <c r="Z123" s="25"/>
      <c r="AA123" s="13" t="s">
        <v>362</v>
      </c>
      <c r="AB123" s="42">
        <v>29.27</v>
      </c>
      <c r="AC123" s="42">
        <v>4.5199999999999996</v>
      </c>
      <c r="AD123" s="42">
        <v>53.32</v>
      </c>
      <c r="AE123" s="42">
        <v>57.84</v>
      </c>
      <c r="AF123" s="42">
        <v>87.11</v>
      </c>
    </row>
    <row r="124" spans="1:32">
      <c r="A124" s="22" t="s">
        <v>121</v>
      </c>
      <c r="B124" s="16" t="s">
        <v>436</v>
      </c>
      <c r="C124" s="126" t="s">
        <v>408</v>
      </c>
      <c r="D124" s="18">
        <v>78.540000000000006</v>
      </c>
      <c r="E124" s="17">
        <v>23.75835</v>
      </c>
      <c r="F124" s="18">
        <v>171.35000000000002</v>
      </c>
      <c r="G124" s="17">
        <v>51.833375000000004</v>
      </c>
      <c r="H124" s="45">
        <v>31.18</v>
      </c>
      <c r="I124" s="45">
        <v>9.4319500000000005</v>
      </c>
      <c r="J124" s="45">
        <v>61.63</v>
      </c>
      <c r="K124" s="45">
        <v>18.643075</v>
      </c>
      <c r="L124" s="45">
        <v>92.81</v>
      </c>
      <c r="M124" s="45">
        <v>28.075025</v>
      </c>
      <c r="N124" s="18">
        <v>25.97</v>
      </c>
      <c r="O124" s="17">
        <v>7.8559249999999992</v>
      </c>
      <c r="P124" s="19"/>
      <c r="Q124" s="19"/>
      <c r="R124" s="19"/>
      <c r="S124" s="19">
        <v>22043712.183511104</v>
      </c>
      <c r="T124" s="19">
        <v>514170000</v>
      </c>
      <c r="U124" s="19">
        <v>628430000</v>
      </c>
      <c r="V124" s="19">
        <v>1142600000</v>
      </c>
      <c r="W124" s="38">
        <v>62843000</v>
      </c>
      <c r="X124" s="40">
        <v>1205443000</v>
      </c>
      <c r="Y124" s="39">
        <v>120544300</v>
      </c>
      <c r="Z124" s="25"/>
      <c r="AA124" s="13" t="s">
        <v>362</v>
      </c>
      <c r="AB124" s="42">
        <v>31.18</v>
      </c>
      <c r="AC124" s="42">
        <v>4.82</v>
      </c>
      <c r="AD124" s="42">
        <v>56.81</v>
      </c>
      <c r="AE124" s="42">
        <v>61.63</v>
      </c>
      <c r="AF124" s="42">
        <v>92.81</v>
      </c>
    </row>
    <row r="125" spans="1:32">
      <c r="A125" s="22" t="s">
        <v>122</v>
      </c>
      <c r="B125" s="16" t="s">
        <v>436</v>
      </c>
      <c r="C125" s="126" t="s">
        <v>408</v>
      </c>
      <c r="D125" s="18">
        <v>50.32</v>
      </c>
      <c r="E125" s="17">
        <v>15.2218</v>
      </c>
      <c r="F125" s="18">
        <v>109.78999999999999</v>
      </c>
      <c r="G125" s="17">
        <v>33.211475</v>
      </c>
      <c r="H125" s="45">
        <v>19.98</v>
      </c>
      <c r="I125" s="45">
        <v>6.0439499999999997</v>
      </c>
      <c r="J125" s="45">
        <v>39.489999999999995</v>
      </c>
      <c r="K125" s="45">
        <v>11.945724999999998</v>
      </c>
      <c r="L125" s="45">
        <v>59.47</v>
      </c>
      <c r="M125" s="45">
        <v>17.989674999999998</v>
      </c>
      <c r="N125" s="18">
        <v>16.64</v>
      </c>
      <c r="O125" s="17">
        <v>5.0335999999999999</v>
      </c>
      <c r="P125" s="19"/>
      <c r="Q125" s="19"/>
      <c r="R125" s="19"/>
      <c r="S125" s="19">
        <v>22043585.83893067</v>
      </c>
      <c r="T125" s="19">
        <v>329445000</v>
      </c>
      <c r="U125" s="19">
        <v>402655000.00000006</v>
      </c>
      <c r="V125" s="19">
        <v>732100000</v>
      </c>
      <c r="W125" s="38">
        <v>40265500.000000007</v>
      </c>
      <c r="X125" s="40">
        <v>772365500</v>
      </c>
      <c r="Y125" s="39">
        <v>77236550</v>
      </c>
      <c r="Z125" s="25"/>
      <c r="AA125" s="13" t="s">
        <v>362</v>
      </c>
      <c r="AB125" s="42">
        <v>19.98</v>
      </c>
      <c r="AC125" s="42">
        <v>3.09</v>
      </c>
      <c r="AD125" s="42">
        <v>36.4</v>
      </c>
      <c r="AE125" s="42">
        <v>39.489999999999995</v>
      </c>
      <c r="AF125" s="42">
        <v>59.47</v>
      </c>
    </row>
    <row r="126" spans="1:32">
      <c r="A126" s="22" t="s">
        <v>123</v>
      </c>
      <c r="B126" s="16" t="s">
        <v>436</v>
      </c>
      <c r="C126" s="126" t="s">
        <v>408</v>
      </c>
      <c r="D126" s="18">
        <v>67.86</v>
      </c>
      <c r="E126" s="17">
        <v>20.527649999999998</v>
      </c>
      <c r="F126" s="18">
        <v>148.04000000000002</v>
      </c>
      <c r="G126" s="17">
        <v>44.782100000000007</v>
      </c>
      <c r="H126" s="45">
        <v>26.94</v>
      </c>
      <c r="I126" s="45">
        <v>8.1493500000000001</v>
      </c>
      <c r="J126" s="45">
        <v>53.239999999999995</v>
      </c>
      <c r="K126" s="45">
        <v>16.105099999999997</v>
      </c>
      <c r="L126" s="45">
        <v>80.180000000000007</v>
      </c>
      <c r="M126" s="45">
        <v>24.254450000000002</v>
      </c>
      <c r="N126" s="18">
        <v>22.44</v>
      </c>
      <c r="O126" s="17">
        <v>6.7881</v>
      </c>
      <c r="P126" s="19"/>
      <c r="Q126" s="19"/>
      <c r="R126" s="19"/>
      <c r="S126" s="19">
        <v>22046755.288385313</v>
      </c>
      <c r="T126" s="19">
        <v>444285000</v>
      </c>
      <c r="U126" s="19">
        <v>543015000</v>
      </c>
      <c r="V126" s="19">
        <v>987300000</v>
      </c>
      <c r="W126" s="38">
        <v>54301500</v>
      </c>
      <c r="X126" s="40">
        <v>1041601500</v>
      </c>
      <c r="Y126" s="39">
        <v>104160150</v>
      </c>
      <c r="Z126" s="25"/>
      <c r="AA126" s="13" t="s">
        <v>362</v>
      </c>
      <c r="AB126" s="42">
        <v>26.94</v>
      </c>
      <c r="AC126" s="42">
        <v>4.16</v>
      </c>
      <c r="AD126" s="42">
        <v>49.08</v>
      </c>
      <c r="AE126" s="42">
        <v>53.239999999999995</v>
      </c>
      <c r="AF126" s="42">
        <v>80.180000000000007</v>
      </c>
    </row>
    <row r="127" spans="1:32">
      <c r="A127" s="22" t="s">
        <v>124</v>
      </c>
      <c r="B127" s="16" t="s">
        <v>436</v>
      </c>
      <c r="C127" s="126" t="s">
        <v>408</v>
      </c>
      <c r="D127" s="18">
        <v>54.51</v>
      </c>
      <c r="E127" s="17">
        <v>16.489274999999999</v>
      </c>
      <c r="F127" s="18">
        <v>118.91999999999999</v>
      </c>
      <c r="G127" s="17">
        <v>35.973299999999995</v>
      </c>
      <c r="H127" s="45">
        <v>21.64</v>
      </c>
      <c r="I127" s="45">
        <v>6.5461</v>
      </c>
      <c r="J127" s="45">
        <v>42.769999999999996</v>
      </c>
      <c r="K127" s="45">
        <v>12.937924999999998</v>
      </c>
      <c r="L127" s="45">
        <v>64.41</v>
      </c>
      <c r="M127" s="45">
        <v>19.484024999999999</v>
      </c>
      <c r="N127" s="18">
        <v>18.03</v>
      </c>
      <c r="O127" s="17">
        <v>5.4540750000000005</v>
      </c>
      <c r="P127" s="19"/>
      <c r="Q127" s="19"/>
      <c r="R127" s="19"/>
      <c r="S127" s="19">
        <v>22038567.493112952</v>
      </c>
      <c r="T127" s="19">
        <v>356760000</v>
      </c>
      <c r="U127" s="19">
        <v>436040000.00000006</v>
      </c>
      <c r="V127" s="19">
        <v>792800000</v>
      </c>
      <c r="W127" s="38">
        <v>43604000.000000007</v>
      </c>
      <c r="X127" s="40">
        <v>836404000</v>
      </c>
      <c r="Y127" s="39">
        <v>83640400</v>
      </c>
      <c r="Z127" s="25"/>
      <c r="AA127" s="13" t="s">
        <v>362</v>
      </c>
      <c r="AB127" s="42">
        <v>21.64</v>
      </c>
      <c r="AC127" s="42">
        <v>3.34</v>
      </c>
      <c r="AD127" s="42">
        <v>39.43</v>
      </c>
      <c r="AE127" s="42">
        <v>42.769999999999996</v>
      </c>
      <c r="AF127" s="42">
        <v>64.41</v>
      </c>
    </row>
    <row r="128" spans="1:32">
      <c r="A128" s="22" t="s">
        <v>125</v>
      </c>
      <c r="B128" s="16" t="s">
        <v>436</v>
      </c>
      <c r="C128" s="126" t="s">
        <v>408</v>
      </c>
      <c r="D128" s="18">
        <v>125.04</v>
      </c>
      <c r="E128" s="17">
        <v>37.824600000000004</v>
      </c>
      <c r="F128" s="18">
        <v>272.79000000000002</v>
      </c>
      <c r="G128" s="17">
        <v>82.518974999999998</v>
      </c>
      <c r="H128" s="45">
        <v>49.64</v>
      </c>
      <c r="I128" s="45">
        <v>15.0161</v>
      </c>
      <c r="J128" s="45">
        <v>98.11</v>
      </c>
      <c r="K128" s="45">
        <v>29.678274999999999</v>
      </c>
      <c r="L128" s="45">
        <v>147.75</v>
      </c>
      <c r="M128" s="45">
        <v>44.694375000000001</v>
      </c>
      <c r="N128" s="18">
        <v>41.35</v>
      </c>
      <c r="O128" s="17">
        <v>12.508375000000001</v>
      </c>
      <c r="P128" s="19"/>
      <c r="Q128" s="19"/>
      <c r="R128" s="19"/>
      <c r="S128" s="19">
        <v>20853385.539507732</v>
      </c>
      <c r="T128" s="19">
        <v>774360000</v>
      </c>
      <c r="U128" s="19">
        <v>946440000.00000012</v>
      </c>
      <c r="V128" s="19">
        <v>1720800000</v>
      </c>
      <c r="W128" s="38">
        <v>94644000.000000015</v>
      </c>
      <c r="X128" s="40">
        <v>1815444000</v>
      </c>
      <c r="Y128" s="39">
        <v>181544400</v>
      </c>
      <c r="Z128" s="25"/>
      <c r="AA128" s="13" t="s">
        <v>362</v>
      </c>
      <c r="AB128" s="42">
        <v>49.64</v>
      </c>
      <c r="AC128" s="42">
        <v>7.67</v>
      </c>
      <c r="AD128" s="42">
        <v>90.44</v>
      </c>
      <c r="AE128" s="42">
        <v>98.11</v>
      </c>
      <c r="AF128" s="42">
        <v>147.75</v>
      </c>
    </row>
    <row r="129" spans="1:32">
      <c r="A129" s="22" t="s">
        <v>126</v>
      </c>
      <c r="B129" s="16" t="s">
        <v>436</v>
      </c>
      <c r="C129" s="126" t="s">
        <v>408</v>
      </c>
      <c r="D129" s="18">
        <v>124.3</v>
      </c>
      <c r="E129" s="17">
        <v>37.600749999999998</v>
      </c>
      <c r="F129" s="18">
        <v>271.19</v>
      </c>
      <c r="G129" s="17">
        <v>82.034975000000003</v>
      </c>
      <c r="H129" s="45">
        <v>49.35</v>
      </c>
      <c r="I129" s="45">
        <v>14.928375000000001</v>
      </c>
      <c r="J129" s="45">
        <v>97.539999999999992</v>
      </c>
      <c r="K129" s="45">
        <v>29.505849999999995</v>
      </c>
      <c r="L129" s="45">
        <v>146.88999999999999</v>
      </c>
      <c r="M129" s="45">
        <v>44.434224999999998</v>
      </c>
      <c r="N129" s="18">
        <v>41.1</v>
      </c>
      <c r="O129" s="17">
        <v>12.43275</v>
      </c>
      <c r="P129" s="19"/>
      <c r="Q129" s="19"/>
      <c r="R129" s="19"/>
      <c r="S129" s="19">
        <v>19892734.775624663</v>
      </c>
      <c r="T129" s="19">
        <v>734355000</v>
      </c>
      <c r="U129" s="19">
        <v>897545000.00000012</v>
      </c>
      <c r="V129" s="19">
        <v>1631900000</v>
      </c>
      <c r="W129" s="38">
        <v>89754500.000000015</v>
      </c>
      <c r="X129" s="40">
        <v>1721654500</v>
      </c>
      <c r="Y129" s="39">
        <v>172165450</v>
      </c>
      <c r="Z129" s="25"/>
      <c r="AA129" s="13" t="s">
        <v>362</v>
      </c>
      <c r="AB129" s="42">
        <v>49.35</v>
      </c>
      <c r="AC129" s="42">
        <v>7.63</v>
      </c>
      <c r="AD129" s="42">
        <v>89.91</v>
      </c>
      <c r="AE129" s="42">
        <v>97.539999999999992</v>
      </c>
      <c r="AF129" s="42">
        <v>146.88999999999999</v>
      </c>
    </row>
    <row r="130" spans="1:32">
      <c r="A130" s="22" t="s">
        <v>127</v>
      </c>
      <c r="B130" s="16" t="s">
        <v>436</v>
      </c>
      <c r="C130" s="126" t="s">
        <v>406</v>
      </c>
      <c r="D130" s="18">
        <v>53.17</v>
      </c>
      <c r="E130" s="17">
        <v>16.083925000000001</v>
      </c>
      <c r="F130" s="18">
        <v>116</v>
      </c>
      <c r="G130" s="17">
        <v>35.089999999999996</v>
      </c>
      <c r="H130" s="45">
        <v>21.11</v>
      </c>
      <c r="I130" s="45">
        <v>6.3857749999999998</v>
      </c>
      <c r="J130" s="45">
        <v>41.72</v>
      </c>
      <c r="K130" s="45">
        <v>12.620299999999999</v>
      </c>
      <c r="L130" s="45">
        <v>62.83</v>
      </c>
      <c r="M130" s="45">
        <v>19.006074999999999</v>
      </c>
      <c r="N130" s="18">
        <v>17.579999999999998</v>
      </c>
      <c r="O130" s="17">
        <v>5.3179499999999997</v>
      </c>
      <c r="P130" s="19">
        <v>48921</v>
      </c>
      <c r="Q130" s="19">
        <v>1716000</v>
      </c>
      <c r="R130" s="19">
        <v>17160000</v>
      </c>
      <c r="S130" s="19"/>
      <c r="T130" s="19"/>
      <c r="U130" s="19"/>
      <c r="V130" s="19"/>
      <c r="W130" s="38">
        <v>171600</v>
      </c>
      <c r="X130" s="40">
        <v>1887600</v>
      </c>
      <c r="Y130" s="39"/>
      <c r="Z130" s="25">
        <v>1716000</v>
      </c>
      <c r="AA130" s="13" t="s">
        <v>362</v>
      </c>
      <c r="AB130" s="42">
        <v>21.11</v>
      </c>
      <c r="AC130" s="42">
        <v>3.26</v>
      </c>
      <c r="AD130" s="42">
        <v>38.46</v>
      </c>
      <c r="AE130" s="42">
        <v>41.72</v>
      </c>
      <c r="AF130" s="42">
        <v>62.83</v>
      </c>
    </row>
    <row r="131" spans="1:32">
      <c r="A131" s="22" t="s">
        <v>128</v>
      </c>
      <c r="B131" s="16" t="s">
        <v>436</v>
      </c>
      <c r="C131" s="126" t="s">
        <v>406</v>
      </c>
      <c r="D131" s="18">
        <v>69.010000000000005</v>
      </c>
      <c r="E131" s="17">
        <v>20.875525</v>
      </c>
      <c r="F131" s="18">
        <v>150.56</v>
      </c>
      <c r="G131" s="17">
        <v>45.544399999999996</v>
      </c>
      <c r="H131" s="45">
        <v>27.4</v>
      </c>
      <c r="I131" s="45">
        <v>8.2884999999999991</v>
      </c>
      <c r="J131" s="45">
        <v>54.150000000000006</v>
      </c>
      <c r="K131" s="45">
        <v>16.380375000000001</v>
      </c>
      <c r="L131" s="45">
        <v>81.55</v>
      </c>
      <c r="M131" s="45">
        <v>24.668875</v>
      </c>
      <c r="N131" s="18">
        <v>22.82</v>
      </c>
      <c r="O131" s="17">
        <v>6.9030499999999995</v>
      </c>
      <c r="P131" s="19">
        <v>48890</v>
      </c>
      <c r="Q131" s="19">
        <v>2226000</v>
      </c>
      <c r="R131" s="19">
        <v>22260000</v>
      </c>
      <c r="S131" s="19"/>
      <c r="T131" s="19"/>
      <c r="U131" s="19"/>
      <c r="V131" s="19"/>
      <c r="W131" s="38">
        <v>222600</v>
      </c>
      <c r="X131" s="40">
        <v>2448600</v>
      </c>
      <c r="Y131" s="39"/>
      <c r="Z131" s="25">
        <v>2226000</v>
      </c>
      <c r="AA131" s="13" t="s">
        <v>362</v>
      </c>
      <c r="AB131" s="42">
        <v>27.4</v>
      </c>
      <c r="AC131" s="42">
        <v>4.2300000000000004</v>
      </c>
      <c r="AD131" s="42">
        <v>49.92</v>
      </c>
      <c r="AE131" s="42">
        <v>54.150000000000006</v>
      </c>
      <c r="AF131" s="42">
        <v>81.55</v>
      </c>
    </row>
    <row r="132" spans="1:32">
      <c r="A132" s="22" t="s">
        <v>129</v>
      </c>
      <c r="B132" s="16" t="s">
        <v>436</v>
      </c>
      <c r="C132" s="126" t="s">
        <v>408</v>
      </c>
      <c r="D132" s="18">
        <v>66.97</v>
      </c>
      <c r="E132" s="17">
        <v>20.258424999999999</v>
      </c>
      <c r="F132" s="18">
        <v>146.11000000000001</v>
      </c>
      <c r="G132" s="17">
        <v>44.198275000000002</v>
      </c>
      <c r="H132" s="45">
        <v>26.59</v>
      </c>
      <c r="I132" s="45">
        <v>8.043474999999999</v>
      </c>
      <c r="J132" s="45">
        <v>52.55</v>
      </c>
      <c r="K132" s="45">
        <v>15.896374999999999</v>
      </c>
      <c r="L132" s="45">
        <v>79.14</v>
      </c>
      <c r="M132" s="45">
        <v>23.93985</v>
      </c>
      <c r="N132" s="18">
        <v>22.15</v>
      </c>
      <c r="O132" s="17">
        <v>6.7003749999999993</v>
      </c>
      <c r="P132" s="19"/>
      <c r="Q132" s="19"/>
      <c r="R132" s="19"/>
      <c r="S132" s="19">
        <v>19889916.518235154</v>
      </c>
      <c r="T132" s="19">
        <v>395595000</v>
      </c>
      <c r="U132" s="19">
        <v>483505000.00000006</v>
      </c>
      <c r="V132" s="19">
        <v>879100000</v>
      </c>
      <c r="W132" s="38">
        <v>48350500.000000007</v>
      </c>
      <c r="X132" s="40">
        <v>927450500</v>
      </c>
      <c r="Y132" s="39">
        <v>92745050</v>
      </c>
      <c r="Z132" s="25"/>
      <c r="AA132" s="13" t="s">
        <v>362</v>
      </c>
      <c r="AB132" s="42">
        <v>26.59</v>
      </c>
      <c r="AC132" s="42">
        <v>4.1100000000000003</v>
      </c>
      <c r="AD132" s="42">
        <v>48.44</v>
      </c>
      <c r="AE132" s="42">
        <v>52.55</v>
      </c>
      <c r="AF132" s="42">
        <v>79.14</v>
      </c>
    </row>
    <row r="133" spans="1:32">
      <c r="A133" s="22" t="s">
        <v>130</v>
      </c>
      <c r="B133" s="16" t="s">
        <v>436</v>
      </c>
      <c r="C133" s="126" t="s">
        <v>408</v>
      </c>
      <c r="D133" s="18">
        <v>74.89</v>
      </c>
      <c r="E133" s="17">
        <v>22.654225</v>
      </c>
      <c r="F133" s="18">
        <v>163.38</v>
      </c>
      <c r="G133" s="17">
        <v>49.422449999999998</v>
      </c>
      <c r="H133" s="45">
        <v>29.73</v>
      </c>
      <c r="I133" s="45">
        <v>8.9933250000000005</v>
      </c>
      <c r="J133" s="45">
        <v>58.760000000000005</v>
      </c>
      <c r="K133" s="45">
        <v>17.774900000000002</v>
      </c>
      <c r="L133" s="45">
        <v>88.490000000000009</v>
      </c>
      <c r="M133" s="45">
        <v>26.768225000000001</v>
      </c>
      <c r="N133" s="18">
        <v>24.76</v>
      </c>
      <c r="O133" s="17">
        <v>7.4899000000000004</v>
      </c>
      <c r="P133" s="19"/>
      <c r="Q133" s="19"/>
      <c r="R133" s="19"/>
      <c r="S133" s="19">
        <v>19887723.089405727</v>
      </c>
      <c r="T133" s="19">
        <v>442305000</v>
      </c>
      <c r="U133" s="19">
        <v>540595000</v>
      </c>
      <c r="V133" s="19">
        <v>982900000</v>
      </c>
      <c r="W133" s="38">
        <v>54059500</v>
      </c>
      <c r="X133" s="40">
        <v>1036959500</v>
      </c>
      <c r="Y133" s="39">
        <v>103695950</v>
      </c>
      <c r="Z133" s="25"/>
      <c r="AA133" s="13" t="s">
        <v>362</v>
      </c>
      <c r="AB133" s="42">
        <v>29.73</v>
      </c>
      <c r="AC133" s="42">
        <v>4.59</v>
      </c>
      <c r="AD133" s="42">
        <v>54.17</v>
      </c>
      <c r="AE133" s="42">
        <v>58.760000000000005</v>
      </c>
      <c r="AF133" s="42">
        <v>88.490000000000009</v>
      </c>
    </row>
    <row r="134" spans="1:32">
      <c r="A134" s="22" t="s">
        <v>131</v>
      </c>
      <c r="B134" s="16" t="s">
        <v>436</v>
      </c>
      <c r="C134" s="126" t="s">
        <v>406</v>
      </c>
      <c r="D134" s="18">
        <v>83.36</v>
      </c>
      <c r="E134" s="17">
        <v>25.2164</v>
      </c>
      <c r="F134" s="18">
        <v>181.97</v>
      </c>
      <c r="G134" s="17">
        <v>55.045924999999997</v>
      </c>
      <c r="H134" s="45">
        <v>33.1</v>
      </c>
      <c r="I134" s="45">
        <v>10.01275</v>
      </c>
      <c r="J134" s="45">
        <v>65.509999999999991</v>
      </c>
      <c r="K134" s="45">
        <v>19.816774999999996</v>
      </c>
      <c r="L134" s="45">
        <v>98.61</v>
      </c>
      <c r="M134" s="45">
        <v>29.829525</v>
      </c>
      <c r="N134" s="18">
        <v>27.59</v>
      </c>
      <c r="O134" s="17">
        <v>8.3459749999999993</v>
      </c>
      <c r="P134" s="19">
        <v>49897</v>
      </c>
      <c r="Q134" s="19">
        <v>2746000</v>
      </c>
      <c r="R134" s="19">
        <v>27460000</v>
      </c>
      <c r="S134" s="19"/>
      <c r="T134" s="19"/>
      <c r="U134" s="19"/>
      <c r="V134" s="19"/>
      <c r="W134" s="38">
        <v>274600</v>
      </c>
      <c r="X134" s="40">
        <v>3020600</v>
      </c>
      <c r="Y134" s="39"/>
      <c r="Z134" s="25">
        <v>2746000</v>
      </c>
      <c r="AA134" s="13" t="s">
        <v>362</v>
      </c>
      <c r="AB134" s="42">
        <v>33.1</v>
      </c>
      <c r="AC134" s="42">
        <v>5.21</v>
      </c>
      <c r="AD134" s="42">
        <v>60.3</v>
      </c>
      <c r="AE134" s="42">
        <v>65.509999999999991</v>
      </c>
      <c r="AF134" s="42">
        <v>98.61</v>
      </c>
    </row>
    <row r="135" spans="1:32">
      <c r="A135" s="148" t="s">
        <v>132</v>
      </c>
      <c r="B135" s="149" t="s">
        <v>436</v>
      </c>
      <c r="C135" s="150" t="s">
        <v>406</v>
      </c>
      <c r="D135" s="151">
        <v>83.04</v>
      </c>
      <c r="E135" s="161">
        <v>25.119600000000002</v>
      </c>
      <c r="F135" s="151">
        <v>181.26</v>
      </c>
      <c r="G135" s="152">
        <v>54.831149999999994</v>
      </c>
      <c r="H135" s="155">
        <v>32.97</v>
      </c>
      <c r="I135" s="155">
        <v>9.9734249999999989</v>
      </c>
      <c r="J135" s="155">
        <v>65.25</v>
      </c>
      <c r="K135" s="155">
        <v>19.738125</v>
      </c>
      <c r="L135" s="155">
        <v>98.22</v>
      </c>
      <c r="M135" s="155">
        <v>29.711549999999999</v>
      </c>
      <c r="N135" s="151">
        <v>27.48</v>
      </c>
      <c r="O135" s="152">
        <v>8.3126999999999995</v>
      </c>
      <c r="P135" s="156">
        <v>48969</v>
      </c>
      <c r="Q135" s="156">
        <v>2685000</v>
      </c>
      <c r="R135" s="156">
        <v>26850000</v>
      </c>
      <c r="S135" s="156"/>
      <c r="T135" s="156"/>
      <c r="U135" s="156"/>
      <c r="V135" s="156"/>
      <c r="W135" s="157">
        <v>268500</v>
      </c>
      <c r="X135" s="158">
        <v>2953500</v>
      </c>
      <c r="Y135" s="159"/>
      <c r="Z135" s="160">
        <v>2685000</v>
      </c>
      <c r="AA135" s="13" t="s">
        <v>362</v>
      </c>
      <c r="AB135" s="42">
        <v>32.97</v>
      </c>
      <c r="AC135" s="42">
        <v>5.1899999999999995</v>
      </c>
      <c r="AD135" s="42">
        <v>60.06</v>
      </c>
      <c r="AE135" s="42">
        <v>65.25</v>
      </c>
      <c r="AF135" s="42">
        <v>98.22</v>
      </c>
    </row>
    <row r="136" spans="1:32">
      <c r="A136" s="22" t="s">
        <v>133</v>
      </c>
      <c r="B136" s="16" t="s">
        <v>436</v>
      </c>
      <c r="C136" s="126" t="s">
        <v>406</v>
      </c>
      <c r="D136" s="18">
        <v>50.25</v>
      </c>
      <c r="E136" s="17">
        <v>15.200624999999999</v>
      </c>
      <c r="F136" s="18">
        <v>109.63</v>
      </c>
      <c r="G136" s="17">
        <v>33.163074999999999</v>
      </c>
      <c r="H136" s="45">
        <v>19.95</v>
      </c>
      <c r="I136" s="45">
        <v>6.0348749999999995</v>
      </c>
      <c r="J136" s="45">
        <v>39.43</v>
      </c>
      <c r="K136" s="45">
        <v>11.927574999999999</v>
      </c>
      <c r="L136" s="45">
        <v>59.38</v>
      </c>
      <c r="M136" s="45">
        <v>17.96245</v>
      </c>
      <c r="N136" s="18">
        <v>16.62</v>
      </c>
      <c r="O136" s="17">
        <v>5.0275499999999997</v>
      </c>
      <c r="P136" s="19">
        <v>48849</v>
      </c>
      <c r="Q136" s="19">
        <v>1619000</v>
      </c>
      <c r="R136" s="19">
        <v>16190000</v>
      </c>
      <c r="S136" s="19"/>
      <c r="T136" s="19"/>
      <c r="U136" s="19"/>
      <c r="V136" s="19"/>
      <c r="W136" s="38">
        <v>161900</v>
      </c>
      <c r="X136" s="40">
        <v>1780900</v>
      </c>
      <c r="Y136" s="39"/>
      <c r="Z136" s="25">
        <v>1619000</v>
      </c>
      <c r="AA136" s="13" t="s">
        <v>362</v>
      </c>
      <c r="AB136" s="42">
        <v>19.95</v>
      </c>
      <c r="AC136" s="42">
        <v>3.08</v>
      </c>
      <c r="AD136" s="42">
        <v>36.35</v>
      </c>
      <c r="AE136" s="42">
        <v>39.43</v>
      </c>
      <c r="AF136" s="42">
        <v>59.38</v>
      </c>
    </row>
    <row r="137" spans="1:32">
      <c r="A137" s="22" t="s">
        <v>134</v>
      </c>
      <c r="B137" s="16" t="s">
        <v>436</v>
      </c>
      <c r="C137" s="126" t="s">
        <v>406</v>
      </c>
      <c r="D137" s="18">
        <v>74.709999999999994</v>
      </c>
      <c r="E137" s="17">
        <v>22.599774999999998</v>
      </c>
      <c r="F137" s="18">
        <v>162.99</v>
      </c>
      <c r="G137" s="17">
        <v>49.304475000000004</v>
      </c>
      <c r="H137" s="45">
        <v>29.66</v>
      </c>
      <c r="I137" s="45">
        <v>8.9721499999999992</v>
      </c>
      <c r="J137" s="45">
        <v>58.62</v>
      </c>
      <c r="K137" s="45">
        <v>17.73255</v>
      </c>
      <c r="L137" s="45">
        <v>88.28</v>
      </c>
      <c r="M137" s="45">
        <v>26.704699999999999</v>
      </c>
      <c r="N137" s="18">
        <v>24.71</v>
      </c>
      <c r="O137" s="17">
        <v>7.4747750000000002</v>
      </c>
      <c r="P137" s="19">
        <v>48879</v>
      </c>
      <c r="Q137" s="19">
        <v>2409000</v>
      </c>
      <c r="R137" s="19">
        <v>24090000</v>
      </c>
      <c r="S137" s="19"/>
      <c r="T137" s="19"/>
      <c r="U137" s="19"/>
      <c r="V137" s="19"/>
      <c r="W137" s="38">
        <v>240900</v>
      </c>
      <c r="X137" s="40">
        <v>2649900</v>
      </c>
      <c r="Y137" s="39"/>
      <c r="Z137" s="25">
        <v>2409000</v>
      </c>
      <c r="AA137" s="13" t="s">
        <v>362</v>
      </c>
      <c r="AB137" s="42">
        <v>29.66</v>
      </c>
      <c r="AC137" s="42">
        <v>4.58</v>
      </c>
      <c r="AD137" s="42">
        <v>54.04</v>
      </c>
      <c r="AE137" s="42">
        <v>58.62</v>
      </c>
      <c r="AF137" s="42">
        <v>88.28</v>
      </c>
    </row>
    <row r="138" spans="1:32">
      <c r="A138" s="22" t="s">
        <v>135</v>
      </c>
      <c r="B138" s="16" t="s">
        <v>436</v>
      </c>
      <c r="C138" s="126" t="s">
        <v>406</v>
      </c>
      <c r="D138" s="18">
        <v>49.41</v>
      </c>
      <c r="E138" s="17">
        <v>14.946524999999999</v>
      </c>
      <c r="F138" s="18">
        <v>107.8</v>
      </c>
      <c r="G138" s="17">
        <v>32.609499999999997</v>
      </c>
      <c r="H138" s="45">
        <v>19.62</v>
      </c>
      <c r="I138" s="45">
        <v>5.9350500000000004</v>
      </c>
      <c r="J138" s="45">
        <v>38.770000000000003</v>
      </c>
      <c r="K138" s="45">
        <v>11.727925000000001</v>
      </c>
      <c r="L138" s="45">
        <v>58.39</v>
      </c>
      <c r="M138" s="45">
        <v>17.662974999999999</v>
      </c>
      <c r="N138" s="18">
        <v>16.34</v>
      </c>
      <c r="O138" s="17">
        <v>4.94285</v>
      </c>
      <c r="P138" s="19">
        <v>50905</v>
      </c>
      <c r="Q138" s="19">
        <v>1659000</v>
      </c>
      <c r="R138" s="19">
        <v>16590000</v>
      </c>
      <c r="S138" s="19"/>
      <c r="T138" s="19"/>
      <c r="U138" s="19"/>
      <c r="V138" s="19"/>
      <c r="W138" s="38">
        <v>165900</v>
      </c>
      <c r="X138" s="40">
        <v>1824900</v>
      </c>
      <c r="Y138" s="39"/>
      <c r="Z138" s="25">
        <v>1659000</v>
      </c>
      <c r="AA138" s="13" t="s">
        <v>362</v>
      </c>
      <c r="AB138" s="42">
        <v>19.62</v>
      </c>
      <c r="AC138" s="42">
        <v>3.03</v>
      </c>
      <c r="AD138" s="42">
        <v>35.74</v>
      </c>
      <c r="AE138" s="42">
        <v>38.770000000000003</v>
      </c>
      <c r="AF138" s="42">
        <v>58.39</v>
      </c>
    </row>
    <row r="139" spans="1:32">
      <c r="A139" s="22" t="s">
        <v>136</v>
      </c>
      <c r="B139" s="16" t="s">
        <v>436</v>
      </c>
      <c r="C139" s="126" t="s">
        <v>406</v>
      </c>
      <c r="D139" s="18">
        <v>52.63</v>
      </c>
      <c r="E139" s="17">
        <v>15.920574999999999</v>
      </c>
      <c r="F139" s="18">
        <v>114.83000000000001</v>
      </c>
      <c r="G139" s="17">
        <v>34.736075</v>
      </c>
      <c r="H139" s="45">
        <v>20.9</v>
      </c>
      <c r="I139" s="45">
        <v>6.3222499999999995</v>
      </c>
      <c r="J139" s="45">
        <v>41.3</v>
      </c>
      <c r="K139" s="45">
        <v>12.493249999999998</v>
      </c>
      <c r="L139" s="45">
        <v>62.2</v>
      </c>
      <c r="M139" s="45">
        <v>18.8155</v>
      </c>
      <c r="N139" s="18">
        <v>17.399999999999999</v>
      </c>
      <c r="O139" s="17">
        <v>5.2634999999999996</v>
      </c>
      <c r="P139" s="19">
        <v>50859</v>
      </c>
      <c r="Q139" s="19">
        <v>1766000</v>
      </c>
      <c r="R139" s="19">
        <v>17660000</v>
      </c>
      <c r="S139" s="19"/>
      <c r="T139" s="19"/>
      <c r="U139" s="19"/>
      <c r="V139" s="19"/>
      <c r="W139" s="38">
        <v>176600</v>
      </c>
      <c r="X139" s="40">
        <v>1942600</v>
      </c>
      <c r="Y139" s="39"/>
      <c r="Z139" s="25">
        <v>1766000</v>
      </c>
      <c r="AA139" s="13" t="s">
        <v>362</v>
      </c>
      <c r="AB139" s="42">
        <v>20.9</v>
      </c>
      <c r="AC139" s="42">
        <v>3.23</v>
      </c>
      <c r="AD139" s="42">
        <v>38.07</v>
      </c>
      <c r="AE139" s="42">
        <v>41.3</v>
      </c>
      <c r="AF139" s="42">
        <v>62.2</v>
      </c>
    </row>
    <row r="140" spans="1:32">
      <c r="A140" s="22" t="s">
        <v>137</v>
      </c>
      <c r="B140" s="16" t="s">
        <v>436</v>
      </c>
      <c r="C140" s="126" t="s">
        <v>406</v>
      </c>
      <c r="D140" s="18">
        <v>87.65</v>
      </c>
      <c r="E140" s="17">
        <v>26.514125</v>
      </c>
      <c r="F140" s="18">
        <v>191.23000000000002</v>
      </c>
      <c r="G140" s="17">
        <v>57.847075000000004</v>
      </c>
      <c r="H140" s="45">
        <v>34.799999999999997</v>
      </c>
      <c r="I140" s="45">
        <v>10.526999999999999</v>
      </c>
      <c r="J140" s="45">
        <v>68.78</v>
      </c>
      <c r="K140" s="45">
        <v>20.805949999999999</v>
      </c>
      <c r="L140" s="45">
        <v>103.58</v>
      </c>
      <c r="M140" s="45">
        <v>31.33295</v>
      </c>
      <c r="N140" s="18">
        <v>28.98</v>
      </c>
      <c r="O140" s="17">
        <v>8.7664500000000007</v>
      </c>
      <c r="P140" s="19">
        <v>49901</v>
      </c>
      <c r="Q140" s="19">
        <v>2886000</v>
      </c>
      <c r="R140" s="19">
        <v>28860000</v>
      </c>
      <c r="S140" s="19"/>
      <c r="T140" s="19"/>
      <c r="U140" s="19"/>
      <c r="V140" s="19"/>
      <c r="W140" s="38">
        <v>288600</v>
      </c>
      <c r="X140" s="40">
        <v>3174600</v>
      </c>
      <c r="Y140" s="39"/>
      <c r="Z140" s="25">
        <v>2886000</v>
      </c>
      <c r="AA140" s="13" t="s">
        <v>362</v>
      </c>
      <c r="AB140" s="42">
        <v>34.799999999999997</v>
      </c>
      <c r="AC140" s="42">
        <v>5.38</v>
      </c>
      <c r="AD140" s="42">
        <v>63.4</v>
      </c>
      <c r="AE140" s="42">
        <v>68.78</v>
      </c>
      <c r="AF140" s="42">
        <v>103.58</v>
      </c>
    </row>
    <row r="141" spans="1:32">
      <c r="A141" s="22" t="s">
        <v>138</v>
      </c>
      <c r="B141" s="16" t="s">
        <v>436</v>
      </c>
      <c r="C141" s="126" t="s">
        <v>406</v>
      </c>
      <c r="D141" s="18">
        <v>77.91</v>
      </c>
      <c r="E141" s="17">
        <v>23.567774999999997</v>
      </c>
      <c r="F141" s="18">
        <v>169.97</v>
      </c>
      <c r="G141" s="17">
        <v>51.415925000000001</v>
      </c>
      <c r="H141" s="45">
        <v>30.93</v>
      </c>
      <c r="I141" s="45">
        <v>9.356325</v>
      </c>
      <c r="J141" s="45">
        <v>61.13</v>
      </c>
      <c r="K141" s="45">
        <v>18.491824999999999</v>
      </c>
      <c r="L141" s="45">
        <v>92.06</v>
      </c>
      <c r="M141" s="45">
        <v>27.84815</v>
      </c>
      <c r="N141" s="18">
        <v>25.76</v>
      </c>
      <c r="O141" s="17">
        <v>7.7924000000000007</v>
      </c>
      <c r="P141" s="19">
        <v>49919</v>
      </c>
      <c r="Q141" s="19">
        <v>2566000</v>
      </c>
      <c r="R141" s="19">
        <v>25660000</v>
      </c>
      <c r="S141" s="19"/>
      <c r="T141" s="19"/>
      <c r="U141" s="19"/>
      <c r="V141" s="19"/>
      <c r="W141" s="38">
        <v>256600</v>
      </c>
      <c r="X141" s="40">
        <v>2822600</v>
      </c>
      <c r="Y141" s="39"/>
      <c r="Z141" s="25">
        <v>2566000</v>
      </c>
      <c r="AA141" s="13" t="s">
        <v>362</v>
      </c>
      <c r="AB141" s="42">
        <v>30.93</v>
      </c>
      <c r="AC141" s="42">
        <v>4.78</v>
      </c>
      <c r="AD141" s="42">
        <v>56.35</v>
      </c>
      <c r="AE141" s="42">
        <v>61.13</v>
      </c>
      <c r="AF141" s="42">
        <v>92.06</v>
      </c>
    </row>
    <row r="142" spans="1:32">
      <c r="A142" s="22" t="s">
        <v>139</v>
      </c>
      <c r="B142" s="16" t="s">
        <v>436</v>
      </c>
      <c r="C142" s="126" t="s">
        <v>406</v>
      </c>
      <c r="D142" s="18">
        <v>77.91</v>
      </c>
      <c r="E142" s="17">
        <v>23.567774999999997</v>
      </c>
      <c r="F142" s="18">
        <v>169.97</v>
      </c>
      <c r="G142" s="17">
        <v>51.415925000000001</v>
      </c>
      <c r="H142" s="45">
        <v>30.93</v>
      </c>
      <c r="I142" s="45">
        <v>9.356325</v>
      </c>
      <c r="J142" s="45">
        <v>61.13</v>
      </c>
      <c r="K142" s="45">
        <v>18.491824999999999</v>
      </c>
      <c r="L142" s="45">
        <v>92.06</v>
      </c>
      <c r="M142" s="45">
        <v>27.84815</v>
      </c>
      <c r="N142" s="18">
        <v>25.76</v>
      </c>
      <c r="O142" s="17">
        <v>7.7924000000000007</v>
      </c>
      <c r="P142" s="19">
        <v>49919</v>
      </c>
      <c r="Q142" s="19">
        <v>2566000</v>
      </c>
      <c r="R142" s="19">
        <v>25660000</v>
      </c>
      <c r="S142" s="19"/>
      <c r="T142" s="19"/>
      <c r="U142" s="19"/>
      <c r="V142" s="19"/>
      <c r="W142" s="38">
        <v>256600</v>
      </c>
      <c r="X142" s="40">
        <v>2822600</v>
      </c>
      <c r="Y142" s="39"/>
      <c r="Z142" s="25">
        <v>2566000</v>
      </c>
      <c r="AA142" s="13" t="s">
        <v>362</v>
      </c>
      <c r="AB142" s="42">
        <v>30.93</v>
      </c>
      <c r="AC142" s="42">
        <v>4.78</v>
      </c>
      <c r="AD142" s="42">
        <v>56.35</v>
      </c>
      <c r="AE142" s="42">
        <v>61.13</v>
      </c>
      <c r="AF142" s="42">
        <v>92.06</v>
      </c>
    </row>
    <row r="143" spans="1:32">
      <c r="A143" s="22" t="s">
        <v>140</v>
      </c>
      <c r="B143" s="16" t="s">
        <v>436</v>
      </c>
      <c r="C143" s="126" t="s">
        <v>408</v>
      </c>
      <c r="D143" s="18">
        <v>78.569999999999993</v>
      </c>
      <c r="E143" s="17">
        <v>23.767424999999996</v>
      </c>
      <c r="F143" s="18">
        <v>171.41</v>
      </c>
      <c r="G143" s="17">
        <v>51.851524999999995</v>
      </c>
      <c r="H143" s="45">
        <v>31.19</v>
      </c>
      <c r="I143" s="45">
        <v>9.4349749999999997</v>
      </c>
      <c r="J143" s="45">
        <v>61.65</v>
      </c>
      <c r="K143" s="45">
        <v>18.649124999999998</v>
      </c>
      <c r="L143" s="45">
        <v>92.84</v>
      </c>
      <c r="M143" s="45">
        <v>28.084099999999999</v>
      </c>
      <c r="N143" s="18">
        <v>25.98</v>
      </c>
      <c r="O143" s="17">
        <v>7.8589500000000001</v>
      </c>
      <c r="P143" s="19"/>
      <c r="Q143" s="19"/>
      <c r="R143" s="19"/>
      <c r="S143" s="19">
        <v>20857631.477569852</v>
      </c>
      <c r="T143" s="19">
        <v>486675000</v>
      </c>
      <c r="U143" s="19">
        <v>594825000</v>
      </c>
      <c r="V143" s="19">
        <v>1081500000</v>
      </c>
      <c r="W143" s="38">
        <v>59482500</v>
      </c>
      <c r="X143" s="40">
        <v>1140982500</v>
      </c>
      <c r="Y143" s="39">
        <v>114098250</v>
      </c>
      <c r="Z143" s="25"/>
      <c r="AA143" s="13" t="s">
        <v>362</v>
      </c>
      <c r="AB143" s="42">
        <v>31.19</v>
      </c>
      <c r="AC143" s="42">
        <v>4.82</v>
      </c>
      <c r="AD143" s="42">
        <v>56.83</v>
      </c>
      <c r="AE143" s="42">
        <v>61.65</v>
      </c>
      <c r="AF143" s="42">
        <v>92.84</v>
      </c>
    </row>
    <row r="144" spans="1:32">
      <c r="A144" s="22" t="s">
        <v>141</v>
      </c>
      <c r="B144" s="16" t="s">
        <v>436</v>
      </c>
      <c r="C144" s="126" t="s">
        <v>408</v>
      </c>
      <c r="D144" s="18">
        <v>56.02</v>
      </c>
      <c r="E144" s="17">
        <v>16.94605</v>
      </c>
      <c r="F144" s="18">
        <v>122.22</v>
      </c>
      <c r="G144" s="17">
        <v>36.971550000000001</v>
      </c>
      <c r="H144" s="45">
        <v>22.24</v>
      </c>
      <c r="I144" s="45">
        <v>6.7275999999999989</v>
      </c>
      <c r="J144" s="45">
        <v>43.96</v>
      </c>
      <c r="K144" s="45">
        <v>13.2979</v>
      </c>
      <c r="L144" s="45">
        <v>66.2</v>
      </c>
      <c r="M144" s="45">
        <v>20.025500000000001</v>
      </c>
      <c r="N144" s="18">
        <v>18.52</v>
      </c>
      <c r="O144" s="17">
        <v>5.6022999999999996</v>
      </c>
      <c r="P144" s="19"/>
      <c r="Q144" s="19"/>
      <c r="R144" s="19"/>
      <c r="S144" s="19">
        <v>20848463.210225157</v>
      </c>
      <c r="T144" s="19">
        <v>346860000</v>
      </c>
      <c r="U144" s="19">
        <v>423940000.00000006</v>
      </c>
      <c r="V144" s="19">
        <v>770800000</v>
      </c>
      <c r="W144" s="38">
        <v>42394000.000000007</v>
      </c>
      <c r="X144" s="40">
        <v>813194000</v>
      </c>
      <c r="Y144" s="39">
        <v>81319400</v>
      </c>
      <c r="Z144" s="25"/>
      <c r="AA144" s="13" t="s">
        <v>362</v>
      </c>
      <c r="AB144" s="42">
        <v>22.24</v>
      </c>
      <c r="AC144" s="42">
        <v>3.44</v>
      </c>
      <c r="AD144" s="42">
        <v>40.520000000000003</v>
      </c>
      <c r="AE144" s="42">
        <v>43.96</v>
      </c>
      <c r="AF144" s="42">
        <v>66.2</v>
      </c>
    </row>
    <row r="145" spans="1:32">
      <c r="A145" s="404" t="s">
        <v>412</v>
      </c>
      <c r="B145" s="405"/>
      <c r="C145" s="125">
        <v>44</v>
      </c>
      <c r="D145" s="27">
        <v>3910.4600000000009</v>
      </c>
      <c r="E145" s="27">
        <v>1182.9141499999998</v>
      </c>
      <c r="F145" s="27">
        <v>8531.65</v>
      </c>
      <c r="G145" s="27">
        <v>2580.8241249999992</v>
      </c>
      <c r="H145" s="27">
        <v>1552.5700000000002</v>
      </c>
      <c r="I145" s="27">
        <v>469.65242500000011</v>
      </c>
      <c r="J145" s="27">
        <v>3068.62</v>
      </c>
      <c r="K145" s="27">
        <v>928.25755000000004</v>
      </c>
      <c r="L145" s="27">
        <v>4621.1899999999996</v>
      </c>
      <c r="M145" s="27">
        <v>1397.9099750000003</v>
      </c>
      <c r="N145" s="27">
        <v>1293.1600000000001</v>
      </c>
      <c r="O145" s="27">
        <v>391.18090000000001</v>
      </c>
      <c r="P145" s="28">
        <v>49731.087972407971</v>
      </c>
      <c r="Q145" s="28">
        <v>30946000</v>
      </c>
      <c r="R145" s="28">
        <v>309460000</v>
      </c>
      <c r="S145" s="28">
        <v>21562298.588207085</v>
      </c>
      <c r="T145" s="28">
        <v>19003950000</v>
      </c>
      <c r="U145" s="28">
        <v>23227050000</v>
      </c>
      <c r="V145" s="28">
        <v>42231000000</v>
      </c>
      <c r="W145" s="28">
        <v>2325799600</v>
      </c>
      <c r="X145" s="28">
        <v>44587745600</v>
      </c>
      <c r="Y145" s="39"/>
      <c r="Z145" s="25"/>
      <c r="AB145" s="42"/>
      <c r="AC145" s="42"/>
      <c r="AD145" s="42"/>
      <c r="AE145" s="42"/>
      <c r="AF145" s="42"/>
    </row>
    <row r="146" spans="1:32">
      <c r="A146" s="22" t="s">
        <v>142</v>
      </c>
      <c r="B146" s="130" t="s">
        <v>473</v>
      </c>
      <c r="C146" s="126" t="s">
        <v>406</v>
      </c>
      <c r="D146" s="18">
        <v>109.57</v>
      </c>
      <c r="E146" s="17">
        <v>33.144924999999994</v>
      </c>
      <c r="F146" s="18">
        <v>239.04</v>
      </c>
      <c r="G146" s="17">
        <v>72.309599999999989</v>
      </c>
      <c r="H146" s="45">
        <v>43.5</v>
      </c>
      <c r="I146" s="45">
        <v>13.15875</v>
      </c>
      <c r="J146" s="45">
        <v>85.97</v>
      </c>
      <c r="K146" s="45">
        <v>26.005924999999998</v>
      </c>
      <c r="L146" s="45">
        <v>129.47</v>
      </c>
      <c r="M146" s="45">
        <v>39.164674999999995</v>
      </c>
      <c r="N146" s="18">
        <v>36.229999999999997</v>
      </c>
      <c r="O146" s="17">
        <v>10.959574999999999</v>
      </c>
      <c r="P146" s="19">
        <v>48594</v>
      </c>
      <c r="Q146" s="19">
        <v>3514000</v>
      </c>
      <c r="R146" s="19">
        <v>35140000</v>
      </c>
      <c r="S146" s="19"/>
      <c r="T146" s="19"/>
      <c r="U146" s="19"/>
      <c r="V146" s="19"/>
      <c r="W146" s="38">
        <v>351400</v>
      </c>
      <c r="X146" s="40">
        <v>3865400</v>
      </c>
      <c r="Y146" s="39"/>
      <c r="Z146" s="25">
        <v>3514000</v>
      </c>
      <c r="AA146" s="13" t="s">
        <v>362</v>
      </c>
      <c r="AB146" s="42">
        <v>43.5</v>
      </c>
      <c r="AC146" s="42">
        <v>6.72</v>
      </c>
      <c r="AD146" s="42">
        <v>79.25</v>
      </c>
      <c r="AE146" s="42">
        <v>85.97</v>
      </c>
      <c r="AF146" s="42">
        <v>129.47</v>
      </c>
    </row>
    <row r="147" spans="1:32">
      <c r="A147" s="22" t="s">
        <v>143</v>
      </c>
      <c r="B147" s="130" t="s">
        <v>473</v>
      </c>
      <c r="C147" s="126" t="s">
        <v>406</v>
      </c>
      <c r="D147" s="18">
        <v>123.53</v>
      </c>
      <c r="E147" s="17">
        <v>37.367824999999996</v>
      </c>
      <c r="F147" s="18">
        <v>269.51</v>
      </c>
      <c r="G147" s="17">
        <v>81.526775000000001</v>
      </c>
      <c r="H147" s="45">
        <v>49.05</v>
      </c>
      <c r="I147" s="45">
        <v>14.837624999999999</v>
      </c>
      <c r="J147" s="45">
        <v>96.929999999999993</v>
      </c>
      <c r="K147" s="45">
        <v>29.321324999999998</v>
      </c>
      <c r="L147" s="45">
        <v>145.97999999999999</v>
      </c>
      <c r="M147" s="45">
        <v>44.158949999999997</v>
      </c>
      <c r="N147" s="18">
        <v>40.85</v>
      </c>
      <c r="O147" s="17">
        <v>12.357125</v>
      </c>
      <c r="P147" s="19">
        <v>48594</v>
      </c>
      <c r="Q147" s="19">
        <v>3962000</v>
      </c>
      <c r="R147" s="19">
        <v>39620000</v>
      </c>
      <c r="S147" s="19"/>
      <c r="T147" s="19"/>
      <c r="U147" s="19"/>
      <c r="V147" s="19"/>
      <c r="W147" s="38">
        <v>396200</v>
      </c>
      <c r="X147" s="40">
        <v>4358200</v>
      </c>
      <c r="Y147" s="39"/>
      <c r="Z147" s="25">
        <v>3962000</v>
      </c>
      <c r="AA147" s="13" t="s">
        <v>362</v>
      </c>
      <c r="AB147" s="42">
        <v>49.05</v>
      </c>
      <c r="AC147" s="42">
        <v>7.58</v>
      </c>
      <c r="AD147" s="42">
        <v>89.35</v>
      </c>
      <c r="AE147" s="42">
        <v>96.929999999999993</v>
      </c>
      <c r="AF147" s="42">
        <v>145.97999999999999</v>
      </c>
    </row>
    <row r="148" spans="1:32">
      <c r="A148" s="22" t="s">
        <v>144</v>
      </c>
      <c r="B148" s="16" t="s">
        <v>436</v>
      </c>
      <c r="C148" s="126" t="s">
        <v>408</v>
      </c>
      <c r="D148" s="18">
        <v>50.55</v>
      </c>
      <c r="E148" s="17">
        <v>15.291374999999999</v>
      </c>
      <c r="F148" s="18">
        <v>110.28</v>
      </c>
      <c r="G148" s="17">
        <v>33.359699999999997</v>
      </c>
      <c r="H148" s="45">
        <v>20.07</v>
      </c>
      <c r="I148" s="45">
        <v>6.0711750000000002</v>
      </c>
      <c r="J148" s="45">
        <v>39.660000000000004</v>
      </c>
      <c r="K148" s="45">
        <v>11.997150000000001</v>
      </c>
      <c r="L148" s="45">
        <v>59.730000000000004</v>
      </c>
      <c r="M148" s="45">
        <v>18.068325000000002</v>
      </c>
      <c r="N148" s="18">
        <v>16.72</v>
      </c>
      <c r="O148" s="17">
        <v>5.0577999999999994</v>
      </c>
      <c r="P148" s="19"/>
      <c r="Q148" s="19"/>
      <c r="R148" s="19"/>
      <c r="S148" s="19">
        <v>22038567.493112952</v>
      </c>
      <c r="T148" s="19">
        <v>330840000</v>
      </c>
      <c r="U148" s="19">
        <v>404360000.00000006</v>
      </c>
      <c r="V148" s="19">
        <v>735200000</v>
      </c>
      <c r="W148" s="38">
        <v>40436000.000000007</v>
      </c>
      <c r="X148" s="40">
        <v>775636000</v>
      </c>
      <c r="Y148" s="39">
        <v>77563600</v>
      </c>
      <c r="Z148" s="25"/>
      <c r="AA148" s="13" t="s">
        <v>362</v>
      </c>
      <c r="AB148" s="42">
        <v>20.07</v>
      </c>
      <c r="AC148" s="42">
        <v>3.1</v>
      </c>
      <c r="AD148" s="42">
        <v>36.56</v>
      </c>
      <c r="AE148" s="42">
        <v>39.660000000000004</v>
      </c>
      <c r="AF148" s="42">
        <v>59.730000000000004</v>
      </c>
    </row>
    <row r="149" spans="1:32">
      <c r="A149" s="22" t="s">
        <v>145</v>
      </c>
      <c r="B149" s="16" t="s">
        <v>436</v>
      </c>
      <c r="C149" s="126" t="s">
        <v>408</v>
      </c>
      <c r="D149" s="18">
        <v>81.7</v>
      </c>
      <c r="E149" s="17">
        <v>24.71425</v>
      </c>
      <c r="F149" s="18">
        <v>178.24</v>
      </c>
      <c r="G149" s="17">
        <v>53.9176</v>
      </c>
      <c r="H149" s="45">
        <v>32.44</v>
      </c>
      <c r="I149" s="45">
        <v>9.8130999999999986</v>
      </c>
      <c r="J149" s="45">
        <v>64.100000000000009</v>
      </c>
      <c r="K149" s="45">
        <v>19.390250000000002</v>
      </c>
      <c r="L149" s="45">
        <v>96.539999999999992</v>
      </c>
      <c r="M149" s="45">
        <v>29.203349999999997</v>
      </c>
      <c r="N149" s="18">
        <v>27.02</v>
      </c>
      <c r="O149" s="17">
        <v>8.1735499999999988</v>
      </c>
      <c r="P149" s="19"/>
      <c r="Q149" s="19"/>
      <c r="R149" s="19"/>
      <c r="S149" s="19">
        <v>22041040.402391799</v>
      </c>
      <c r="T149" s="19">
        <v>534780000</v>
      </c>
      <c r="U149" s="19">
        <v>653620000</v>
      </c>
      <c r="V149" s="19">
        <v>1188400000</v>
      </c>
      <c r="W149" s="38">
        <v>65362000</v>
      </c>
      <c r="X149" s="40">
        <v>1253762000</v>
      </c>
      <c r="Y149" s="39">
        <v>125376200</v>
      </c>
      <c r="Z149" s="25"/>
      <c r="AA149" s="13" t="s">
        <v>362</v>
      </c>
      <c r="AB149" s="42">
        <v>32.44</v>
      </c>
      <c r="AC149" s="42">
        <v>5.01</v>
      </c>
      <c r="AD149" s="42">
        <v>59.09</v>
      </c>
      <c r="AE149" s="42">
        <v>64.100000000000009</v>
      </c>
      <c r="AF149" s="42">
        <v>96.539999999999992</v>
      </c>
    </row>
    <row r="150" spans="1:32">
      <c r="A150" s="22" t="s">
        <v>146</v>
      </c>
      <c r="B150" s="16" t="s">
        <v>436</v>
      </c>
      <c r="C150" s="126" t="s">
        <v>408</v>
      </c>
      <c r="D150" s="18">
        <v>98.29</v>
      </c>
      <c r="E150" s="17">
        <v>29.732725000000002</v>
      </c>
      <c r="F150" s="18">
        <v>214.43</v>
      </c>
      <c r="G150" s="17">
        <v>64.865075000000004</v>
      </c>
      <c r="H150" s="45">
        <v>39.020000000000003</v>
      </c>
      <c r="I150" s="45">
        <v>11.803550000000001</v>
      </c>
      <c r="J150" s="45">
        <v>77.12</v>
      </c>
      <c r="K150" s="45">
        <v>23.328800000000001</v>
      </c>
      <c r="L150" s="45">
        <v>116.14000000000001</v>
      </c>
      <c r="M150" s="45">
        <v>35.132350000000002</v>
      </c>
      <c r="N150" s="18">
        <v>32.5</v>
      </c>
      <c r="O150" s="17">
        <v>9.8312499999999989</v>
      </c>
      <c r="P150" s="19"/>
      <c r="Q150" s="19"/>
      <c r="R150" s="19"/>
      <c r="S150" s="19">
        <v>22038053.605888836</v>
      </c>
      <c r="T150" s="19">
        <v>643275000</v>
      </c>
      <c r="U150" s="19">
        <v>786225000.00000012</v>
      </c>
      <c r="V150" s="19">
        <v>1429500000</v>
      </c>
      <c r="W150" s="38">
        <v>78622500.000000015</v>
      </c>
      <c r="X150" s="40">
        <v>1508122500</v>
      </c>
      <c r="Y150" s="39">
        <v>150812250</v>
      </c>
      <c r="Z150" s="25"/>
      <c r="AA150" s="13" t="s">
        <v>362</v>
      </c>
      <c r="AB150" s="42">
        <v>39.020000000000003</v>
      </c>
      <c r="AC150" s="42">
        <v>6.03</v>
      </c>
      <c r="AD150" s="42">
        <v>71.09</v>
      </c>
      <c r="AE150" s="42">
        <v>77.12</v>
      </c>
      <c r="AF150" s="42">
        <v>116.14000000000001</v>
      </c>
    </row>
    <row r="151" spans="1:32">
      <c r="A151" s="22" t="s">
        <v>147</v>
      </c>
      <c r="B151" s="16" t="s">
        <v>436</v>
      </c>
      <c r="C151" s="126" t="s">
        <v>408</v>
      </c>
      <c r="D151" s="18">
        <v>98.49</v>
      </c>
      <c r="E151" s="17">
        <v>29.793224999999996</v>
      </c>
      <c r="F151" s="18">
        <v>214.87</v>
      </c>
      <c r="G151" s="17">
        <v>64.998175000000003</v>
      </c>
      <c r="H151" s="45">
        <v>39.1</v>
      </c>
      <c r="I151" s="45">
        <v>11.82775</v>
      </c>
      <c r="J151" s="45">
        <v>77.28</v>
      </c>
      <c r="K151" s="45">
        <v>23.377199999999998</v>
      </c>
      <c r="L151" s="45">
        <v>116.38</v>
      </c>
      <c r="M151" s="45">
        <v>35.204949999999997</v>
      </c>
      <c r="N151" s="18">
        <v>32.57</v>
      </c>
      <c r="O151" s="17">
        <v>9.8524250000000002</v>
      </c>
      <c r="P151" s="19"/>
      <c r="Q151" s="19"/>
      <c r="R151" s="19"/>
      <c r="S151" s="19">
        <v>22046772.851699296</v>
      </c>
      <c r="T151" s="19">
        <v>644850000</v>
      </c>
      <c r="U151" s="19">
        <v>788150000.00000012</v>
      </c>
      <c r="V151" s="19">
        <v>1433000000</v>
      </c>
      <c r="W151" s="38">
        <v>78815000.000000015</v>
      </c>
      <c r="X151" s="40">
        <v>1511815000</v>
      </c>
      <c r="Y151" s="39">
        <v>151181500</v>
      </c>
      <c r="Z151" s="25"/>
      <c r="AA151" s="13" t="s">
        <v>362</v>
      </c>
      <c r="AB151" s="42">
        <v>39.1</v>
      </c>
      <c r="AC151" s="42">
        <v>6.04</v>
      </c>
      <c r="AD151" s="42">
        <v>71.239999999999995</v>
      </c>
      <c r="AE151" s="42">
        <v>77.28</v>
      </c>
      <c r="AF151" s="42">
        <v>116.38</v>
      </c>
    </row>
    <row r="152" spans="1:32">
      <c r="A152" s="22" t="s">
        <v>148</v>
      </c>
      <c r="B152" s="16" t="s">
        <v>436</v>
      </c>
      <c r="C152" s="126" t="s">
        <v>408</v>
      </c>
      <c r="D152" s="18">
        <v>98.49</v>
      </c>
      <c r="E152" s="17">
        <v>29.793224999999996</v>
      </c>
      <c r="F152" s="18">
        <v>214.87</v>
      </c>
      <c r="G152" s="17">
        <v>64.998175000000003</v>
      </c>
      <c r="H152" s="45">
        <v>39.1</v>
      </c>
      <c r="I152" s="45">
        <v>11.82775</v>
      </c>
      <c r="J152" s="45">
        <v>77.28</v>
      </c>
      <c r="K152" s="45">
        <v>23.377199999999998</v>
      </c>
      <c r="L152" s="45">
        <v>116.38</v>
      </c>
      <c r="M152" s="45">
        <v>35.204949999999997</v>
      </c>
      <c r="N152" s="18">
        <v>32.57</v>
      </c>
      <c r="O152" s="17">
        <v>9.8524250000000002</v>
      </c>
      <c r="P152" s="19"/>
      <c r="Q152" s="19"/>
      <c r="R152" s="19"/>
      <c r="S152" s="19">
        <v>22046772.851699296</v>
      </c>
      <c r="T152" s="19">
        <v>644850000</v>
      </c>
      <c r="U152" s="19">
        <v>788150000.00000012</v>
      </c>
      <c r="V152" s="19">
        <v>1433000000</v>
      </c>
      <c r="W152" s="38">
        <v>78815000.000000015</v>
      </c>
      <c r="X152" s="40">
        <v>1511815000</v>
      </c>
      <c r="Y152" s="39">
        <v>151181500</v>
      </c>
      <c r="Z152" s="25"/>
      <c r="AA152" s="13" t="s">
        <v>362</v>
      </c>
      <c r="AB152" s="42">
        <v>39.1</v>
      </c>
      <c r="AC152" s="42">
        <v>6.04</v>
      </c>
      <c r="AD152" s="42">
        <v>71.239999999999995</v>
      </c>
      <c r="AE152" s="42">
        <v>77.28</v>
      </c>
      <c r="AF152" s="42">
        <v>116.38</v>
      </c>
    </row>
    <row r="153" spans="1:32">
      <c r="A153" s="22" t="s">
        <v>149</v>
      </c>
      <c r="B153" s="16" t="s">
        <v>436</v>
      </c>
      <c r="C153" s="126" t="s">
        <v>408</v>
      </c>
      <c r="D153" s="18">
        <v>98.49</v>
      </c>
      <c r="E153" s="17">
        <v>29.793224999999996</v>
      </c>
      <c r="F153" s="18">
        <v>214.87</v>
      </c>
      <c r="G153" s="17">
        <v>64.998175000000003</v>
      </c>
      <c r="H153" s="45">
        <v>39.1</v>
      </c>
      <c r="I153" s="45">
        <v>11.82775</v>
      </c>
      <c r="J153" s="45">
        <v>77.28</v>
      </c>
      <c r="K153" s="45">
        <v>23.377199999999998</v>
      </c>
      <c r="L153" s="45">
        <v>116.38</v>
      </c>
      <c r="M153" s="45">
        <v>35.204949999999997</v>
      </c>
      <c r="N153" s="18">
        <v>32.57</v>
      </c>
      <c r="O153" s="17">
        <v>9.8524250000000002</v>
      </c>
      <c r="P153" s="19"/>
      <c r="Q153" s="19"/>
      <c r="R153" s="19"/>
      <c r="S153" s="19">
        <v>22046772.851699296</v>
      </c>
      <c r="T153" s="19">
        <v>644850000</v>
      </c>
      <c r="U153" s="19">
        <v>788150000.00000012</v>
      </c>
      <c r="V153" s="19">
        <v>1433000000</v>
      </c>
      <c r="W153" s="38">
        <v>78815000.000000015</v>
      </c>
      <c r="X153" s="40">
        <v>1511815000</v>
      </c>
      <c r="Y153" s="39">
        <v>151181500</v>
      </c>
      <c r="Z153" s="25"/>
      <c r="AA153" s="13" t="s">
        <v>362</v>
      </c>
      <c r="AB153" s="42">
        <v>39.1</v>
      </c>
      <c r="AC153" s="42">
        <v>6.04</v>
      </c>
      <c r="AD153" s="42">
        <v>71.239999999999995</v>
      </c>
      <c r="AE153" s="42">
        <v>77.28</v>
      </c>
      <c r="AF153" s="42">
        <v>116.38</v>
      </c>
    </row>
    <row r="154" spans="1:32">
      <c r="A154" s="22" t="s">
        <v>150</v>
      </c>
      <c r="B154" s="16" t="s">
        <v>436</v>
      </c>
      <c r="C154" s="126" t="s">
        <v>408</v>
      </c>
      <c r="D154" s="18">
        <v>98.49</v>
      </c>
      <c r="E154" s="17">
        <v>29.793224999999996</v>
      </c>
      <c r="F154" s="18">
        <v>214.87</v>
      </c>
      <c r="G154" s="17">
        <v>64.998175000000003</v>
      </c>
      <c r="H154" s="45">
        <v>39.1</v>
      </c>
      <c r="I154" s="45">
        <v>11.82775</v>
      </c>
      <c r="J154" s="45">
        <v>77.28</v>
      </c>
      <c r="K154" s="45">
        <v>23.377199999999998</v>
      </c>
      <c r="L154" s="45">
        <v>116.38</v>
      </c>
      <c r="M154" s="45">
        <v>35.204949999999997</v>
      </c>
      <c r="N154" s="18">
        <v>32.57</v>
      </c>
      <c r="O154" s="17">
        <v>9.8524250000000002</v>
      </c>
      <c r="P154" s="19"/>
      <c r="Q154" s="19"/>
      <c r="R154" s="19"/>
      <c r="S154" s="19">
        <v>22046772.851699296</v>
      </c>
      <c r="T154" s="19">
        <v>644850000</v>
      </c>
      <c r="U154" s="19">
        <v>788150000.00000012</v>
      </c>
      <c r="V154" s="19">
        <v>1433000000</v>
      </c>
      <c r="W154" s="38">
        <v>78815000.000000015</v>
      </c>
      <c r="X154" s="40">
        <v>1511815000</v>
      </c>
      <c r="Y154" s="39">
        <v>151181500</v>
      </c>
      <c r="Z154" s="25"/>
      <c r="AA154" s="13" t="s">
        <v>362</v>
      </c>
      <c r="AB154" s="42">
        <v>39.1</v>
      </c>
      <c r="AC154" s="42">
        <v>6.04</v>
      </c>
      <c r="AD154" s="42">
        <v>71.239999999999995</v>
      </c>
      <c r="AE154" s="42">
        <v>77.28</v>
      </c>
      <c r="AF154" s="42">
        <v>116.38</v>
      </c>
    </row>
    <row r="155" spans="1:32">
      <c r="A155" s="22" t="s">
        <v>151</v>
      </c>
      <c r="B155" s="16" t="s">
        <v>436</v>
      </c>
      <c r="C155" s="126" t="s">
        <v>408</v>
      </c>
      <c r="D155" s="18">
        <v>98.49</v>
      </c>
      <c r="E155" s="17">
        <v>29.793224999999996</v>
      </c>
      <c r="F155" s="18">
        <v>214.87</v>
      </c>
      <c r="G155" s="17">
        <v>64.998175000000003</v>
      </c>
      <c r="H155" s="45">
        <v>39.1</v>
      </c>
      <c r="I155" s="45">
        <v>11.82775</v>
      </c>
      <c r="J155" s="45">
        <v>77.28</v>
      </c>
      <c r="K155" s="45">
        <v>23.377199999999998</v>
      </c>
      <c r="L155" s="45">
        <v>116.38</v>
      </c>
      <c r="M155" s="45">
        <v>35.204949999999997</v>
      </c>
      <c r="N155" s="18">
        <v>32.57</v>
      </c>
      <c r="O155" s="17">
        <v>9.8524250000000002</v>
      </c>
      <c r="P155" s="19"/>
      <c r="Q155" s="19"/>
      <c r="R155" s="19"/>
      <c r="S155" s="19">
        <v>22046772.851699296</v>
      </c>
      <c r="T155" s="19">
        <v>644850000</v>
      </c>
      <c r="U155" s="19">
        <v>788150000.00000012</v>
      </c>
      <c r="V155" s="19">
        <v>1433000000</v>
      </c>
      <c r="W155" s="38">
        <v>78815000.000000015</v>
      </c>
      <c r="X155" s="40">
        <v>1511815000</v>
      </c>
      <c r="Y155" s="39">
        <v>151181500</v>
      </c>
      <c r="Z155" s="25"/>
      <c r="AA155" s="13" t="s">
        <v>362</v>
      </c>
      <c r="AB155" s="42">
        <v>39.1</v>
      </c>
      <c r="AC155" s="42">
        <v>6.04</v>
      </c>
      <c r="AD155" s="42">
        <v>71.239999999999995</v>
      </c>
      <c r="AE155" s="42">
        <v>77.28</v>
      </c>
      <c r="AF155" s="42">
        <v>116.38</v>
      </c>
    </row>
    <row r="156" spans="1:32">
      <c r="A156" s="22" t="s">
        <v>152</v>
      </c>
      <c r="B156" s="16" t="s">
        <v>436</v>
      </c>
      <c r="C156" s="126" t="s">
        <v>408</v>
      </c>
      <c r="D156" s="18">
        <v>123.11</v>
      </c>
      <c r="E156" s="17">
        <v>37.240774999999999</v>
      </c>
      <c r="F156" s="18">
        <v>268.58999999999997</v>
      </c>
      <c r="G156" s="17">
        <v>81.248474999999985</v>
      </c>
      <c r="H156" s="45">
        <v>48.88</v>
      </c>
      <c r="I156" s="45">
        <v>14.786200000000001</v>
      </c>
      <c r="J156" s="45">
        <v>96.6</v>
      </c>
      <c r="K156" s="45">
        <v>29.221499999999999</v>
      </c>
      <c r="L156" s="45">
        <v>145.47999999999999</v>
      </c>
      <c r="M156" s="45">
        <v>44.007699999999993</v>
      </c>
      <c r="N156" s="18">
        <v>40.71</v>
      </c>
      <c r="O156" s="17">
        <v>12.314774999999999</v>
      </c>
      <c r="P156" s="19"/>
      <c r="Q156" s="19"/>
      <c r="R156" s="19"/>
      <c r="S156" s="19">
        <v>22039798.285444748</v>
      </c>
      <c r="T156" s="19">
        <v>805815000</v>
      </c>
      <c r="U156" s="19">
        <v>984885000.00000012</v>
      </c>
      <c r="V156" s="19">
        <v>1790700000</v>
      </c>
      <c r="W156" s="38">
        <v>98488500.000000015</v>
      </c>
      <c r="X156" s="40">
        <v>1889188500</v>
      </c>
      <c r="Y156" s="39">
        <v>188918850</v>
      </c>
      <c r="Z156" s="25"/>
      <c r="AA156" s="13" t="s">
        <v>362</v>
      </c>
      <c r="AB156" s="42">
        <v>48.88</v>
      </c>
      <c r="AC156" s="42">
        <v>7.55</v>
      </c>
      <c r="AD156" s="42">
        <v>89.05</v>
      </c>
      <c r="AE156" s="42">
        <v>96.6</v>
      </c>
      <c r="AF156" s="42">
        <v>145.47999999999999</v>
      </c>
    </row>
    <row r="157" spans="1:32">
      <c r="A157" s="22" t="s">
        <v>153</v>
      </c>
      <c r="B157" s="16" t="s">
        <v>436</v>
      </c>
      <c r="C157" s="126" t="s">
        <v>408</v>
      </c>
      <c r="D157" s="18">
        <v>168.84</v>
      </c>
      <c r="E157" s="17">
        <v>51.074100000000001</v>
      </c>
      <c r="F157" s="18">
        <v>368.35</v>
      </c>
      <c r="G157" s="17">
        <v>111.425875</v>
      </c>
      <c r="H157" s="45">
        <v>67.03</v>
      </c>
      <c r="I157" s="45">
        <v>20.276575000000001</v>
      </c>
      <c r="J157" s="45">
        <v>132.48000000000002</v>
      </c>
      <c r="K157" s="45">
        <v>40.075200000000002</v>
      </c>
      <c r="L157" s="45">
        <v>199.51</v>
      </c>
      <c r="M157" s="45">
        <v>60.351774999999996</v>
      </c>
      <c r="N157" s="18">
        <v>55.83</v>
      </c>
      <c r="O157" s="17">
        <v>16.888574999999999</v>
      </c>
      <c r="P157" s="19"/>
      <c r="Q157" s="19"/>
      <c r="R157" s="19"/>
      <c r="S157" s="19">
        <v>22046046.306569278</v>
      </c>
      <c r="T157" s="19">
        <v>1105425000</v>
      </c>
      <c r="U157" s="19">
        <v>1351075000</v>
      </c>
      <c r="V157" s="19">
        <v>2456500000</v>
      </c>
      <c r="W157" s="38">
        <v>135107500</v>
      </c>
      <c r="X157" s="40">
        <v>2591607500</v>
      </c>
      <c r="Y157" s="39">
        <v>259160750</v>
      </c>
      <c r="Z157" s="25"/>
      <c r="AA157" s="13" t="s">
        <v>362</v>
      </c>
      <c r="AB157" s="42">
        <v>67.03</v>
      </c>
      <c r="AC157" s="42">
        <v>10.36</v>
      </c>
      <c r="AD157" s="42">
        <v>122.12</v>
      </c>
      <c r="AE157" s="42">
        <v>132.48000000000002</v>
      </c>
      <c r="AF157" s="42">
        <v>199.51</v>
      </c>
    </row>
    <row r="158" spans="1:32">
      <c r="A158" s="22" t="s">
        <v>154</v>
      </c>
      <c r="B158" s="16" t="s">
        <v>436</v>
      </c>
      <c r="C158" s="126" t="s">
        <v>408</v>
      </c>
      <c r="D158" s="18">
        <v>160.37</v>
      </c>
      <c r="E158" s="17">
        <v>48.511924999999998</v>
      </c>
      <c r="F158" s="18">
        <v>349.88</v>
      </c>
      <c r="G158" s="17">
        <v>105.83869999999999</v>
      </c>
      <c r="H158" s="45">
        <v>63.67</v>
      </c>
      <c r="I158" s="45">
        <v>19.260175</v>
      </c>
      <c r="J158" s="45">
        <v>125.84</v>
      </c>
      <c r="K158" s="45">
        <v>38.066600000000001</v>
      </c>
      <c r="L158" s="45">
        <v>189.51</v>
      </c>
      <c r="M158" s="45">
        <v>57.326774999999998</v>
      </c>
      <c r="N158" s="18">
        <v>53.03</v>
      </c>
      <c r="O158" s="17">
        <v>16.041574999999998</v>
      </c>
      <c r="P158" s="19"/>
      <c r="Q158" s="19"/>
      <c r="R158" s="19"/>
      <c r="S158" s="19">
        <v>22045811.22028143</v>
      </c>
      <c r="T158" s="19">
        <v>1049985000</v>
      </c>
      <c r="U158" s="19">
        <v>1283315000</v>
      </c>
      <c r="V158" s="19">
        <v>2333300000</v>
      </c>
      <c r="W158" s="38">
        <v>128331500</v>
      </c>
      <c r="X158" s="40">
        <v>2461631500</v>
      </c>
      <c r="Y158" s="39">
        <v>246163150</v>
      </c>
      <c r="Z158" s="25"/>
      <c r="AA158" s="13" t="s">
        <v>362</v>
      </c>
      <c r="AB158" s="42">
        <v>63.67</v>
      </c>
      <c r="AC158" s="42">
        <v>9.84</v>
      </c>
      <c r="AD158" s="42">
        <v>116</v>
      </c>
      <c r="AE158" s="42">
        <v>125.84</v>
      </c>
      <c r="AF158" s="42">
        <v>189.51</v>
      </c>
    </row>
    <row r="159" spans="1:32">
      <c r="A159" s="22" t="s">
        <v>155</v>
      </c>
      <c r="B159" s="16" t="s">
        <v>436</v>
      </c>
      <c r="C159" s="126" t="s">
        <v>408</v>
      </c>
      <c r="D159" s="18">
        <v>119.93</v>
      </c>
      <c r="E159" s="17">
        <v>36.278824999999998</v>
      </c>
      <c r="F159" s="18">
        <v>261.65999999999997</v>
      </c>
      <c r="G159" s="17">
        <v>79.152149999999992</v>
      </c>
      <c r="H159" s="45">
        <v>47.62</v>
      </c>
      <c r="I159" s="45">
        <v>14.405049999999999</v>
      </c>
      <c r="J159" s="45">
        <v>94.11</v>
      </c>
      <c r="K159" s="45">
        <v>28.468274999999998</v>
      </c>
      <c r="L159" s="45">
        <v>141.72999999999999</v>
      </c>
      <c r="M159" s="45">
        <v>42.873324999999994</v>
      </c>
      <c r="N159" s="18">
        <v>39.659999999999997</v>
      </c>
      <c r="O159" s="17">
        <v>11.997149999999998</v>
      </c>
      <c r="P159" s="19"/>
      <c r="Q159" s="19"/>
      <c r="R159" s="19"/>
      <c r="S159" s="19">
        <v>22039830.882673435</v>
      </c>
      <c r="T159" s="19">
        <v>785025000</v>
      </c>
      <c r="U159" s="19">
        <v>959475000.00000012</v>
      </c>
      <c r="V159" s="19">
        <v>1744500000</v>
      </c>
      <c r="W159" s="38">
        <v>95947500.000000015</v>
      </c>
      <c r="X159" s="40">
        <v>1840447500</v>
      </c>
      <c r="Y159" s="39">
        <v>184044750</v>
      </c>
      <c r="Z159" s="25"/>
      <c r="AA159" s="13" t="s">
        <v>362</v>
      </c>
      <c r="AB159" s="42">
        <v>47.62</v>
      </c>
      <c r="AC159" s="42">
        <v>7.36</v>
      </c>
      <c r="AD159" s="42">
        <v>86.75</v>
      </c>
      <c r="AE159" s="42">
        <v>94.11</v>
      </c>
      <c r="AF159" s="42">
        <v>141.72999999999999</v>
      </c>
    </row>
    <row r="160" spans="1:32">
      <c r="A160" s="22" t="s">
        <v>156</v>
      </c>
      <c r="B160" s="16" t="s">
        <v>436</v>
      </c>
      <c r="C160" s="126" t="s">
        <v>408</v>
      </c>
      <c r="D160" s="18">
        <v>114.06</v>
      </c>
      <c r="E160" s="17">
        <v>34.503149999999998</v>
      </c>
      <c r="F160" s="18">
        <v>248.85</v>
      </c>
      <c r="G160" s="17">
        <v>75.277124999999998</v>
      </c>
      <c r="H160" s="45">
        <v>45.29</v>
      </c>
      <c r="I160" s="45">
        <v>13.700225</v>
      </c>
      <c r="J160" s="45">
        <v>89.5</v>
      </c>
      <c r="K160" s="45">
        <v>27.07375</v>
      </c>
      <c r="L160" s="45">
        <v>134.79</v>
      </c>
      <c r="M160" s="45">
        <v>40.773974999999993</v>
      </c>
      <c r="N160" s="18">
        <v>37.72</v>
      </c>
      <c r="O160" s="17">
        <v>11.410299999999999</v>
      </c>
      <c r="P160" s="19"/>
      <c r="Q160" s="19"/>
      <c r="R160" s="19"/>
      <c r="S160" s="19">
        <v>22041224.342720315</v>
      </c>
      <c r="T160" s="19">
        <v>746640000</v>
      </c>
      <c r="U160" s="19">
        <v>912560000.00000012</v>
      </c>
      <c r="V160" s="19">
        <v>1659200000</v>
      </c>
      <c r="W160" s="38">
        <v>91256000.000000015</v>
      </c>
      <c r="X160" s="40">
        <v>1750456000</v>
      </c>
      <c r="Y160" s="39">
        <v>175045600</v>
      </c>
      <c r="Z160" s="37"/>
      <c r="AA160" s="13" t="s">
        <v>362</v>
      </c>
      <c r="AB160" s="42">
        <v>45.29</v>
      </c>
      <c r="AC160" s="42">
        <v>7</v>
      </c>
      <c r="AD160" s="42">
        <v>82.5</v>
      </c>
      <c r="AE160" s="42">
        <v>89.5</v>
      </c>
      <c r="AF160" s="42">
        <v>134.79</v>
      </c>
    </row>
    <row r="161" spans="1:32">
      <c r="A161" s="22" t="s">
        <v>157</v>
      </c>
      <c r="B161" s="16" t="s">
        <v>436</v>
      </c>
      <c r="C161" s="126" t="s">
        <v>408</v>
      </c>
      <c r="D161" s="18">
        <v>124.2</v>
      </c>
      <c r="E161" s="17">
        <v>37.570500000000003</v>
      </c>
      <c r="F161" s="18">
        <v>270.97000000000003</v>
      </c>
      <c r="G161" s="17">
        <v>81.968425000000011</v>
      </c>
      <c r="H161" s="45">
        <v>49.31</v>
      </c>
      <c r="I161" s="45">
        <v>14.916275000000001</v>
      </c>
      <c r="J161" s="45">
        <v>97.460000000000008</v>
      </c>
      <c r="K161" s="45">
        <v>29.481650000000002</v>
      </c>
      <c r="L161" s="45">
        <v>146.77000000000001</v>
      </c>
      <c r="M161" s="45">
        <v>44.397925000000001</v>
      </c>
      <c r="N161" s="18">
        <v>41.07</v>
      </c>
      <c r="O161" s="17">
        <v>12.423674999999999</v>
      </c>
      <c r="P161" s="19"/>
      <c r="Q161" s="19"/>
      <c r="R161" s="19"/>
      <c r="S161" s="19">
        <v>22040194.1357297</v>
      </c>
      <c r="T161" s="19">
        <v>812970000</v>
      </c>
      <c r="U161" s="19">
        <v>993630000.00000012</v>
      </c>
      <c r="V161" s="19">
        <v>1806600000</v>
      </c>
      <c r="W161" s="38">
        <v>99363000.000000015</v>
      </c>
      <c r="X161" s="40">
        <v>1905963000</v>
      </c>
      <c r="Y161" s="39">
        <v>190596300</v>
      </c>
      <c r="Z161" s="25"/>
      <c r="AA161" s="13" t="s">
        <v>362</v>
      </c>
      <c r="AB161" s="42">
        <v>49.31</v>
      </c>
      <c r="AC161" s="42">
        <v>7.62</v>
      </c>
      <c r="AD161" s="42">
        <v>89.84</v>
      </c>
      <c r="AE161" s="42">
        <v>97.460000000000008</v>
      </c>
      <c r="AF161" s="42">
        <v>146.77000000000001</v>
      </c>
    </row>
    <row r="162" spans="1:32">
      <c r="A162" s="22" t="s">
        <v>158</v>
      </c>
      <c r="B162" s="16" t="s">
        <v>436</v>
      </c>
      <c r="C162" s="126" t="s">
        <v>408</v>
      </c>
      <c r="D162" s="18">
        <v>77.77</v>
      </c>
      <c r="E162" s="17">
        <v>23.525424999999998</v>
      </c>
      <c r="F162" s="18">
        <v>169.67000000000002</v>
      </c>
      <c r="G162" s="17">
        <v>51.325175000000002</v>
      </c>
      <c r="H162" s="45">
        <v>30.88</v>
      </c>
      <c r="I162" s="45">
        <v>9.3411999999999988</v>
      </c>
      <c r="J162" s="45">
        <v>61.019999999999996</v>
      </c>
      <c r="K162" s="45">
        <v>18.458549999999999</v>
      </c>
      <c r="L162" s="45">
        <v>91.9</v>
      </c>
      <c r="M162" s="45">
        <v>27.79975</v>
      </c>
      <c r="N162" s="18">
        <v>25.72</v>
      </c>
      <c r="O162" s="17">
        <v>7.7802999999999995</v>
      </c>
      <c r="P162" s="19"/>
      <c r="Q162" s="19"/>
      <c r="R162" s="19"/>
      <c r="S162" s="19">
        <v>22039866.4008452</v>
      </c>
      <c r="T162" s="19">
        <v>509040000</v>
      </c>
      <c r="U162" s="19">
        <v>622160000</v>
      </c>
      <c r="V162" s="19">
        <v>1131200000</v>
      </c>
      <c r="W162" s="38">
        <v>62216000</v>
      </c>
      <c r="X162" s="40">
        <v>1193416000</v>
      </c>
      <c r="Y162" s="39">
        <v>119341600</v>
      </c>
      <c r="Z162" s="25"/>
      <c r="AA162" s="13" t="s">
        <v>362</v>
      </c>
      <c r="AB162" s="42">
        <v>30.88</v>
      </c>
      <c r="AC162" s="42">
        <v>4.7699999999999996</v>
      </c>
      <c r="AD162" s="42">
        <v>56.25</v>
      </c>
      <c r="AE162" s="42">
        <v>61.019999999999996</v>
      </c>
      <c r="AF162" s="42">
        <v>91.9</v>
      </c>
    </row>
    <row r="163" spans="1:32">
      <c r="A163" s="22" t="s">
        <v>159</v>
      </c>
      <c r="B163" s="16" t="s">
        <v>436</v>
      </c>
      <c r="C163" s="126" t="s">
        <v>406</v>
      </c>
      <c r="D163" s="18">
        <v>77.36</v>
      </c>
      <c r="E163" s="17">
        <v>23.401399999999999</v>
      </c>
      <c r="F163" s="18">
        <v>168.78</v>
      </c>
      <c r="G163" s="17">
        <v>51.055949999999996</v>
      </c>
      <c r="H163" s="45">
        <v>30.71</v>
      </c>
      <c r="I163" s="45">
        <v>9.2897750000000006</v>
      </c>
      <c r="J163" s="45">
        <v>60.71</v>
      </c>
      <c r="K163" s="45">
        <v>18.364774999999998</v>
      </c>
      <c r="L163" s="45">
        <v>91.42</v>
      </c>
      <c r="M163" s="45">
        <v>27.65455</v>
      </c>
      <c r="N163" s="18">
        <v>25.58</v>
      </c>
      <c r="O163" s="17">
        <v>7.7379499999999997</v>
      </c>
      <c r="P163" s="19">
        <v>49945</v>
      </c>
      <c r="Q163" s="19">
        <v>2549000</v>
      </c>
      <c r="R163" s="19">
        <v>25490000</v>
      </c>
      <c r="S163" s="19"/>
      <c r="T163" s="19"/>
      <c r="U163" s="19"/>
      <c r="V163" s="19"/>
      <c r="W163" s="38">
        <v>254900</v>
      </c>
      <c r="X163" s="40">
        <v>2803900</v>
      </c>
      <c r="Y163" s="39"/>
      <c r="Z163" s="25">
        <v>2549000</v>
      </c>
      <c r="AA163" s="13" t="s">
        <v>362</v>
      </c>
      <c r="AB163" s="42">
        <v>30.71</v>
      </c>
      <c r="AC163" s="42">
        <v>4.75</v>
      </c>
      <c r="AD163" s="42">
        <v>55.96</v>
      </c>
      <c r="AE163" s="42">
        <v>60.71</v>
      </c>
      <c r="AF163" s="42">
        <v>91.42</v>
      </c>
    </row>
    <row r="164" spans="1:32">
      <c r="A164" s="22" t="s">
        <v>160</v>
      </c>
      <c r="B164" s="16" t="s">
        <v>436</v>
      </c>
      <c r="C164" s="126" t="s">
        <v>406</v>
      </c>
      <c r="D164" s="18">
        <v>76.23</v>
      </c>
      <c r="E164" s="17">
        <v>23.059574999999999</v>
      </c>
      <c r="F164" s="18">
        <v>166.32</v>
      </c>
      <c r="G164" s="17">
        <v>50.311799999999998</v>
      </c>
      <c r="H164" s="45">
        <v>30.27</v>
      </c>
      <c r="I164" s="45">
        <v>9.1566749999999999</v>
      </c>
      <c r="J164" s="45">
        <v>59.82</v>
      </c>
      <c r="K164" s="45">
        <v>18.095549999999999</v>
      </c>
      <c r="L164" s="45">
        <v>90.09</v>
      </c>
      <c r="M164" s="45">
        <v>27.252224999999999</v>
      </c>
      <c r="N164" s="18">
        <v>25.21</v>
      </c>
      <c r="O164" s="17">
        <v>7.6260250000000003</v>
      </c>
      <c r="P164" s="19">
        <v>49955</v>
      </c>
      <c r="Q164" s="19">
        <v>2513000</v>
      </c>
      <c r="R164" s="19">
        <v>25130000</v>
      </c>
      <c r="S164" s="19"/>
      <c r="T164" s="19"/>
      <c r="U164" s="19"/>
      <c r="V164" s="19"/>
      <c r="W164" s="38">
        <v>251300</v>
      </c>
      <c r="X164" s="40">
        <v>2764300</v>
      </c>
      <c r="Y164" s="39"/>
      <c r="Z164" s="25">
        <v>2513000</v>
      </c>
      <c r="AA164" s="13" t="s">
        <v>362</v>
      </c>
      <c r="AB164" s="42">
        <v>30.27</v>
      </c>
      <c r="AC164" s="42">
        <v>4.68</v>
      </c>
      <c r="AD164" s="42">
        <v>55.14</v>
      </c>
      <c r="AE164" s="42">
        <v>59.82</v>
      </c>
      <c r="AF164" s="42">
        <v>90.09</v>
      </c>
    </row>
    <row r="165" spans="1:32">
      <c r="A165" s="22" t="s">
        <v>161</v>
      </c>
      <c r="B165" s="16" t="s">
        <v>436</v>
      </c>
      <c r="C165" s="126" t="s">
        <v>406</v>
      </c>
      <c r="D165" s="18">
        <v>76.23</v>
      </c>
      <c r="E165" s="17">
        <v>23.059574999999999</v>
      </c>
      <c r="F165" s="18">
        <v>166.32</v>
      </c>
      <c r="G165" s="17">
        <v>50.311799999999998</v>
      </c>
      <c r="H165" s="45">
        <v>30.27</v>
      </c>
      <c r="I165" s="45">
        <v>9.1566749999999999</v>
      </c>
      <c r="J165" s="45">
        <v>59.82</v>
      </c>
      <c r="K165" s="45">
        <v>18.095549999999999</v>
      </c>
      <c r="L165" s="45">
        <v>90.09</v>
      </c>
      <c r="M165" s="45">
        <v>27.252224999999999</v>
      </c>
      <c r="N165" s="18">
        <v>25.21</v>
      </c>
      <c r="O165" s="17">
        <v>7.6260250000000003</v>
      </c>
      <c r="P165" s="19">
        <v>49955</v>
      </c>
      <c r="Q165" s="19">
        <v>2513000</v>
      </c>
      <c r="R165" s="19">
        <v>25130000</v>
      </c>
      <c r="S165" s="19"/>
      <c r="T165" s="19"/>
      <c r="U165" s="19"/>
      <c r="V165" s="19"/>
      <c r="W165" s="38">
        <v>251300</v>
      </c>
      <c r="X165" s="40">
        <v>2764300</v>
      </c>
      <c r="Y165" s="39"/>
      <c r="Z165" s="25">
        <v>2513000</v>
      </c>
      <c r="AA165" s="13" t="s">
        <v>362</v>
      </c>
      <c r="AB165" s="42">
        <v>30.27</v>
      </c>
      <c r="AC165" s="42">
        <v>4.68</v>
      </c>
      <c r="AD165" s="42">
        <v>55.14</v>
      </c>
      <c r="AE165" s="42">
        <v>59.82</v>
      </c>
      <c r="AF165" s="42">
        <v>90.09</v>
      </c>
    </row>
    <row r="166" spans="1:32">
      <c r="A166" s="22" t="s">
        <v>162</v>
      </c>
      <c r="B166" s="16" t="s">
        <v>436</v>
      </c>
      <c r="C166" s="126" t="s">
        <v>406</v>
      </c>
      <c r="D166" s="18">
        <v>76.23</v>
      </c>
      <c r="E166" s="17">
        <v>23.059574999999999</v>
      </c>
      <c r="F166" s="18">
        <v>166.32</v>
      </c>
      <c r="G166" s="17">
        <v>50.311799999999998</v>
      </c>
      <c r="H166" s="45">
        <v>30.27</v>
      </c>
      <c r="I166" s="45">
        <v>9.1566749999999999</v>
      </c>
      <c r="J166" s="45">
        <v>59.82</v>
      </c>
      <c r="K166" s="45">
        <v>18.095549999999999</v>
      </c>
      <c r="L166" s="45">
        <v>90.09</v>
      </c>
      <c r="M166" s="45">
        <v>27.252224999999999</v>
      </c>
      <c r="N166" s="18">
        <v>25.21</v>
      </c>
      <c r="O166" s="17">
        <v>7.6260250000000003</v>
      </c>
      <c r="P166" s="19">
        <v>49955</v>
      </c>
      <c r="Q166" s="19">
        <v>2513000</v>
      </c>
      <c r="R166" s="19">
        <v>25130000</v>
      </c>
      <c r="S166" s="19"/>
      <c r="T166" s="19"/>
      <c r="U166" s="19"/>
      <c r="V166" s="19"/>
      <c r="W166" s="38">
        <v>251300</v>
      </c>
      <c r="X166" s="40">
        <v>2764300</v>
      </c>
      <c r="Y166" s="39"/>
      <c r="Z166" s="25">
        <v>2513000</v>
      </c>
      <c r="AA166" s="13" t="s">
        <v>362</v>
      </c>
      <c r="AB166" s="42">
        <v>30.27</v>
      </c>
      <c r="AC166" s="42">
        <v>4.68</v>
      </c>
      <c r="AD166" s="42">
        <v>55.14</v>
      </c>
      <c r="AE166" s="42">
        <v>59.82</v>
      </c>
      <c r="AF166" s="42">
        <v>90.09</v>
      </c>
    </row>
    <row r="167" spans="1:32">
      <c r="A167" s="22" t="s">
        <v>163</v>
      </c>
      <c r="B167" s="16" t="s">
        <v>436</v>
      </c>
      <c r="C167" s="126" t="s">
        <v>406</v>
      </c>
      <c r="D167" s="18">
        <v>73.27</v>
      </c>
      <c r="E167" s="17">
        <v>22.164174999999997</v>
      </c>
      <c r="F167" s="18">
        <v>159.86000000000001</v>
      </c>
      <c r="G167" s="17">
        <v>48.35765</v>
      </c>
      <c r="H167" s="45">
        <v>29.09</v>
      </c>
      <c r="I167" s="45">
        <v>8.7997250000000005</v>
      </c>
      <c r="J167" s="45">
        <v>57.5</v>
      </c>
      <c r="K167" s="45">
        <v>17.393750000000001</v>
      </c>
      <c r="L167" s="45">
        <v>86.59</v>
      </c>
      <c r="M167" s="45">
        <v>26.193474999999999</v>
      </c>
      <c r="N167" s="18">
        <v>24.23</v>
      </c>
      <c r="O167" s="17">
        <v>7.3295750000000002</v>
      </c>
      <c r="P167" s="19">
        <v>49905</v>
      </c>
      <c r="Q167" s="19">
        <v>2413000</v>
      </c>
      <c r="R167" s="19">
        <v>24130000</v>
      </c>
      <c r="S167" s="19"/>
      <c r="T167" s="19"/>
      <c r="U167" s="19"/>
      <c r="V167" s="19"/>
      <c r="W167" s="38">
        <v>241300</v>
      </c>
      <c r="X167" s="40">
        <v>2654300</v>
      </c>
      <c r="Y167" s="39"/>
      <c r="Z167" s="25">
        <v>2413000</v>
      </c>
      <c r="AA167" s="13" t="s">
        <v>362</v>
      </c>
      <c r="AB167" s="42">
        <v>29.09</v>
      </c>
      <c r="AC167" s="42">
        <v>4.5</v>
      </c>
      <c r="AD167" s="42">
        <v>53</v>
      </c>
      <c r="AE167" s="42">
        <v>57.5</v>
      </c>
      <c r="AF167" s="42">
        <v>86.59</v>
      </c>
    </row>
    <row r="168" spans="1:32">
      <c r="A168" s="22" t="s">
        <v>164</v>
      </c>
      <c r="B168" s="130" t="s">
        <v>473</v>
      </c>
      <c r="C168" s="126" t="s">
        <v>406</v>
      </c>
      <c r="D168" s="18">
        <v>157.79</v>
      </c>
      <c r="E168" s="17">
        <v>47.731474999999996</v>
      </c>
      <c r="F168" s="18">
        <v>344.25</v>
      </c>
      <c r="G168" s="17">
        <v>104.13562499999999</v>
      </c>
      <c r="H168" s="45">
        <v>62.65</v>
      </c>
      <c r="I168" s="45">
        <v>18.951625</v>
      </c>
      <c r="J168" s="45">
        <v>123.81</v>
      </c>
      <c r="K168" s="45">
        <v>37.452525000000001</v>
      </c>
      <c r="L168" s="45">
        <v>186.45999999999998</v>
      </c>
      <c r="M168" s="45">
        <v>56.404149999999994</v>
      </c>
      <c r="N168" s="18">
        <v>52.18</v>
      </c>
      <c r="O168" s="17">
        <v>15.78445</v>
      </c>
      <c r="P168" s="19">
        <v>48594</v>
      </c>
      <c r="Q168" s="19">
        <v>5061000</v>
      </c>
      <c r="R168" s="19">
        <v>50610000</v>
      </c>
      <c r="S168" s="19"/>
      <c r="T168" s="19"/>
      <c r="U168" s="19"/>
      <c r="V168" s="19"/>
      <c r="W168" s="38">
        <v>506100</v>
      </c>
      <c r="X168" s="40">
        <v>5567100</v>
      </c>
      <c r="Y168" s="39"/>
      <c r="Z168" s="25">
        <v>5061000</v>
      </c>
      <c r="AA168" s="13" t="s">
        <v>362</v>
      </c>
      <c r="AB168" s="42">
        <v>62.65</v>
      </c>
      <c r="AC168" s="42">
        <v>9.68</v>
      </c>
      <c r="AD168" s="42">
        <v>114.13</v>
      </c>
      <c r="AE168" s="42">
        <v>123.81</v>
      </c>
      <c r="AF168" s="42">
        <v>186.45999999999998</v>
      </c>
    </row>
    <row r="169" spans="1:32">
      <c r="A169" s="22" t="s">
        <v>165</v>
      </c>
      <c r="B169" s="16" t="s">
        <v>436</v>
      </c>
      <c r="C169" s="126" t="s">
        <v>408</v>
      </c>
      <c r="D169" s="18">
        <v>264.83999999999997</v>
      </c>
      <c r="E169" s="17">
        <v>80.114099999999993</v>
      </c>
      <c r="F169" s="18">
        <v>577.9</v>
      </c>
      <c r="G169" s="17">
        <v>174.81474999999998</v>
      </c>
      <c r="H169" s="45">
        <v>105.25</v>
      </c>
      <c r="I169" s="45">
        <v>31.838124999999998</v>
      </c>
      <c r="J169" s="45">
        <v>207.81</v>
      </c>
      <c r="K169" s="45">
        <v>62.862524999999998</v>
      </c>
      <c r="L169" s="45">
        <v>313.06</v>
      </c>
      <c r="M169" s="45">
        <v>94.700649999999996</v>
      </c>
      <c r="N169" s="18">
        <v>87.6</v>
      </c>
      <c r="O169" s="17">
        <v>26.498999999999999</v>
      </c>
      <c r="P169" s="19"/>
      <c r="Q169" s="19"/>
      <c r="R169" s="19"/>
      <c r="S169" s="19">
        <v>22040474.273480929</v>
      </c>
      <c r="T169" s="19">
        <v>1733850000</v>
      </c>
      <c r="U169" s="19">
        <v>2119150000.0000002</v>
      </c>
      <c r="V169" s="19">
        <v>3853000000</v>
      </c>
      <c r="W169" s="38">
        <v>211915000.00000003</v>
      </c>
      <c r="X169" s="40">
        <v>4064915000</v>
      </c>
      <c r="Y169" s="39">
        <v>406491500</v>
      </c>
      <c r="Z169" s="25"/>
      <c r="AA169" s="13" t="s">
        <v>362</v>
      </c>
      <c r="AB169" s="42">
        <v>105.25</v>
      </c>
      <c r="AC169" s="42">
        <v>16.25</v>
      </c>
      <c r="AD169" s="42">
        <v>191.56</v>
      </c>
      <c r="AE169" s="42">
        <v>207.81</v>
      </c>
      <c r="AF169" s="42">
        <v>313.06</v>
      </c>
    </row>
    <row r="170" spans="1:32">
      <c r="A170" s="22" t="s">
        <v>166</v>
      </c>
      <c r="B170" s="16" t="s">
        <v>436</v>
      </c>
      <c r="C170" s="126" t="s">
        <v>408</v>
      </c>
      <c r="D170" s="18">
        <v>143.79</v>
      </c>
      <c r="E170" s="17">
        <v>43.496474999999997</v>
      </c>
      <c r="F170" s="18">
        <v>313.71000000000004</v>
      </c>
      <c r="G170" s="17">
        <v>94.897275000000008</v>
      </c>
      <c r="H170" s="45">
        <v>57.09</v>
      </c>
      <c r="I170" s="45">
        <v>17.269725000000001</v>
      </c>
      <c r="J170" s="45">
        <v>112.83000000000001</v>
      </c>
      <c r="K170" s="45">
        <v>34.131075000000003</v>
      </c>
      <c r="L170" s="45">
        <v>169.92000000000002</v>
      </c>
      <c r="M170" s="45">
        <v>51.400800000000004</v>
      </c>
      <c r="N170" s="18">
        <v>47.55</v>
      </c>
      <c r="O170" s="17">
        <v>14.383874999999998</v>
      </c>
      <c r="P170" s="19"/>
      <c r="Q170" s="19"/>
      <c r="R170" s="19"/>
      <c r="S170" s="19">
        <v>22041728.806227576</v>
      </c>
      <c r="T170" s="19">
        <v>941265000</v>
      </c>
      <c r="U170" s="19">
        <v>1150435000</v>
      </c>
      <c r="V170" s="19">
        <v>2091700000</v>
      </c>
      <c r="W170" s="38">
        <v>115043500</v>
      </c>
      <c r="X170" s="40">
        <v>2206743500</v>
      </c>
      <c r="Y170" s="39">
        <v>220674350</v>
      </c>
      <c r="Z170" s="25"/>
      <c r="AA170" s="13" t="s">
        <v>362</v>
      </c>
      <c r="AB170" s="42">
        <v>57.09</v>
      </c>
      <c r="AC170" s="42">
        <v>8.82</v>
      </c>
      <c r="AD170" s="42">
        <v>104.01</v>
      </c>
      <c r="AE170" s="42">
        <v>112.83000000000001</v>
      </c>
      <c r="AF170" s="42">
        <v>169.92000000000002</v>
      </c>
    </row>
    <row r="171" spans="1:32">
      <c r="A171" s="22" t="s">
        <v>167</v>
      </c>
      <c r="B171" s="16" t="s">
        <v>436</v>
      </c>
      <c r="C171" s="126" t="s">
        <v>408</v>
      </c>
      <c r="D171" s="18">
        <v>123.57</v>
      </c>
      <c r="E171" s="17">
        <v>37.379925</v>
      </c>
      <c r="F171" s="18">
        <v>269.58999999999997</v>
      </c>
      <c r="G171" s="17">
        <v>81.550974999999994</v>
      </c>
      <c r="H171" s="45">
        <v>49.06</v>
      </c>
      <c r="I171" s="45">
        <v>14.84065</v>
      </c>
      <c r="J171" s="45">
        <v>96.96</v>
      </c>
      <c r="K171" s="45">
        <v>29.330399999999997</v>
      </c>
      <c r="L171" s="45">
        <v>146.01999999999998</v>
      </c>
      <c r="M171" s="45">
        <v>44.171049999999994</v>
      </c>
      <c r="N171" s="18">
        <v>40.86</v>
      </c>
      <c r="O171" s="17">
        <v>12.360149999999999</v>
      </c>
      <c r="P171" s="19"/>
      <c r="Q171" s="19"/>
      <c r="R171" s="19"/>
      <c r="S171" s="19">
        <v>22045107.369960938</v>
      </c>
      <c r="T171" s="19">
        <v>809010000</v>
      </c>
      <c r="U171" s="19">
        <v>988790000.00000012</v>
      </c>
      <c r="V171" s="19">
        <v>1797800000</v>
      </c>
      <c r="W171" s="38">
        <v>98879000.000000015</v>
      </c>
      <c r="X171" s="40">
        <v>1896679000</v>
      </c>
      <c r="Y171" s="39">
        <v>189667900</v>
      </c>
      <c r="Z171" s="25"/>
      <c r="AA171" s="13" t="s">
        <v>362</v>
      </c>
      <c r="AB171" s="42">
        <v>49.06</v>
      </c>
      <c r="AC171" s="42">
        <v>7.58</v>
      </c>
      <c r="AD171" s="42">
        <v>89.38</v>
      </c>
      <c r="AE171" s="42">
        <v>96.96</v>
      </c>
      <c r="AF171" s="42">
        <v>146.01999999999998</v>
      </c>
    </row>
    <row r="172" spans="1:32">
      <c r="A172" s="22" t="s">
        <v>168</v>
      </c>
      <c r="B172" s="16" t="s">
        <v>436</v>
      </c>
      <c r="C172" s="126" t="s">
        <v>408</v>
      </c>
      <c r="D172" s="18">
        <v>96.07</v>
      </c>
      <c r="E172" s="17">
        <v>29.061174999999999</v>
      </c>
      <c r="F172" s="18">
        <v>209.58999999999997</v>
      </c>
      <c r="G172" s="17">
        <v>63.400974999999988</v>
      </c>
      <c r="H172" s="45">
        <v>38.14</v>
      </c>
      <c r="I172" s="45">
        <v>11.53735</v>
      </c>
      <c r="J172" s="45">
        <v>75.38</v>
      </c>
      <c r="K172" s="45">
        <v>22.802449999999997</v>
      </c>
      <c r="L172" s="45">
        <v>113.52</v>
      </c>
      <c r="M172" s="45">
        <v>34.339799999999997</v>
      </c>
      <c r="N172" s="18">
        <v>31.77</v>
      </c>
      <c r="O172" s="17">
        <v>9.6104249999999993</v>
      </c>
      <c r="P172" s="19"/>
      <c r="Q172" s="19"/>
      <c r="R172" s="19"/>
      <c r="S172" s="19">
        <v>20852991.614087958</v>
      </c>
      <c r="T172" s="19">
        <v>594945000</v>
      </c>
      <c r="U172" s="19">
        <v>727155000</v>
      </c>
      <c r="V172" s="19">
        <v>1322100000</v>
      </c>
      <c r="W172" s="38">
        <v>72715500</v>
      </c>
      <c r="X172" s="40">
        <v>1394815500</v>
      </c>
      <c r="Y172" s="39">
        <v>139481550</v>
      </c>
      <c r="Z172" s="25"/>
      <c r="AA172" s="13" t="s">
        <v>362</v>
      </c>
      <c r="AB172" s="42">
        <v>38.14</v>
      </c>
      <c r="AC172" s="42">
        <v>5.89</v>
      </c>
      <c r="AD172" s="42">
        <v>69.489999999999995</v>
      </c>
      <c r="AE172" s="42">
        <v>75.38</v>
      </c>
      <c r="AF172" s="42">
        <v>113.52</v>
      </c>
    </row>
    <row r="173" spans="1:32">
      <c r="A173" s="22" t="s">
        <v>169</v>
      </c>
      <c r="B173" s="16" t="s">
        <v>436</v>
      </c>
      <c r="C173" s="126" t="s">
        <v>408</v>
      </c>
      <c r="D173" s="18">
        <v>217.24</v>
      </c>
      <c r="E173" s="17">
        <v>65.715100000000007</v>
      </c>
      <c r="F173" s="18">
        <v>473.95</v>
      </c>
      <c r="G173" s="17">
        <v>143.36987499999998</v>
      </c>
      <c r="H173" s="45">
        <v>86.25</v>
      </c>
      <c r="I173" s="45">
        <v>26.090624999999999</v>
      </c>
      <c r="J173" s="45">
        <v>170.46</v>
      </c>
      <c r="K173" s="45">
        <v>51.564149999999998</v>
      </c>
      <c r="L173" s="45">
        <v>256.70999999999998</v>
      </c>
      <c r="M173" s="45">
        <v>77.654774999999987</v>
      </c>
      <c r="N173" s="18">
        <v>71.84</v>
      </c>
      <c r="O173" s="17">
        <v>21.7316</v>
      </c>
      <c r="P173" s="19"/>
      <c r="Q173" s="19"/>
      <c r="R173" s="19"/>
      <c r="S173" s="19">
        <v>20856543.259174917</v>
      </c>
      <c r="T173" s="19">
        <v>1345590000</v>
      </c>
      <c r="U173" s="19">
        <v>1644610000.0000002</v>
      </c>
      <c r="V173" s="19">
        <v>2990200000</v>
      </c>
      <c r="W173" s="38">
        <v>164461000.00000003</v>
      </c>
      <c r="X173" s="40">
        <v>3154661000</v>
      </c>
      <c r="Y173" s="39">
        <v>315466100</v>
      </c>
      <c r="Z173" s="25"/>
      <c r="AA173" s="13" t="s">
        <v>362</v>
      </c>
      <c r="AB173" s="42">
        <v>86.25</v>
      </c>
      <c r="AC173" s="42">
        <v>13.33</v>
      </c>
      <c r="AD173" s="42">
        <v>157.13</v>
      </c>
      <c r="AE173" s="42">
        <v>170.46</v>
      </c>
      <c r="AF173" s="42">
        <v>256.70999999999998</v>
      </c>
    </row>
    <row r="174" spans="1:32">
      <c r="A174" s="22" t="s">
        <v>170</v>
      </c>
      <c r="B174" s="16" t="s">
        <v>436</v>
      </c>
      <c r="C174" s="126" t="s">
        <v>408</v>
      </c>
      <c r="D174" s="18">
        <v>76.7</v>
      </c>
      <c r="E174" s="17">
        <v>23.201750000000001</v>
      </c>
      <c r="F174" s="18">
        <v>167.33999999999997</v>
      </c>
      <c r="G174" s="17">
        <v>50.620349999999988</v>
      </c>
      <c r="H174" s="45">
        <v>30.45</v>
      </c>
      <c r="I174" s="45">
        <v>9.2111249999999991</v>
      </c>
      <c r="J174" s="45">
        <v>60.19</v>
      </c>
      <c r="K174" s="45">
        <v>18.207474999999999</v>
      </c>
      <c r="L174" s="45">
        <v>90.639999999999986</v>
      </c>
      <c r="M174" s="45">
        <v>27.418599999999994</v>
      </c>
      <c r="N174" s="18">
        <v>25.36</v>
      </c>
      <c r="O174" s="17">
        <v>7.6713999999999993</v>
      </c>
      <c r="P174" s="19"/>
      <c r="Q174" s="19"/>
      <c r="R174" s="19"/>
      <c r="S174" s="19">
        <v>19887258.780312665</v>
      </c>
      <c r="T174" s="19">
        <v>453015000</v>
      </c>
      <c r="U174" s="19">
        <v>553685000</v>
      </c>
      <c r="V174" s="19">
        <v>1006700000</v>
      </c>
      <c r="W174" s="38">
        <v>55368500</v>
      </c>
      <c r="X174" s="40">
        <v>1062068500</v>
      </c>
      <c r="Y174" s="39">
        <v>106206850</v>
      </c>
      <c r="Z174" s="25"/>
      <c r="AA174" s="13" t="s">
        <v>362</v>
      </c>
      <c r="AB174" s="42">
        <v>30.45</v>
      </c>
      <c r="AC174" s="42">
        <v>4.71</v>
      </c>
      <c r="AD174" s="42">
        <v>55.48</v>
      </c>
      <c r="AE174" s="42">
        <v>60.19</v>
      </c>
      <c r="AF174" s="42">
        <v>90.639999999999986</v>
      </c>
    </row>
    <row r="175" spans="1:32">
      <c r="A175" s="22" t="s">
        <v>171</v>
      </c>
      <c r="B175" s="16" t="s">
        <v>436</v>
      </c>
      <c r="C175" s="126" t="s">
        <v>408</v>
      </c>
      <c r="D175" s="18">
        <v>66.599999999999994</v>
      </c>
      <c r="E175" s="17">
        <v>20.146499999999996</v>
      </c>
      <c r="F175" s="18">
        <v>145.30000000000001</v>
      </c>
      <c r="G175" s="17">
        <v>43.953250000000004</v>
      </c>
      <c r="H175" s="45">
        <v>26.44</v>
      </c>
      <c r="I175" s="45">
        <v>7.9981</v>
      </c>
      <c r="J175" s="45">
        <v>52.260000000000005</v>
      </c>
      <c r="K175" s="45">
        <v>15.808650000000002</v>
      </c>
      <c r="L175" s="45">
        <v>78.7</v>
      </c>
      <c r="M175" s="45">
        <v>23.806750000000001</v>
      </c>
      <c r="N175" s="18">
        <v>22.02</v>
      </c>
      <c r="O175" s="17">
        <v>6.6610499999999995</v>
      </c>
      <c r="P175" s="19"/>
      <c r="Q175" s="19"/>
      <c r="R175" s="19"/>
      <c r="S175" s="19">
        <v>19889314.21453476</v>
      </c>
      <c r="T175" s="19">
        <v>393390000</v>
      </c>
      <c r="U175" s="19">
        <v>480810000.00000006</v>
      </c>
      <c r="V175" s="19">
        <v>874200000</v>
      </c>
      <c r="W175" s="38">
        <v>48081000.000000007</v>
      </c>
      <c r="X175" s="40">
        <v>922281000</v>
      </c>
      <c r="Y175" s="39">
        <v>92228100</v>
      </c>
      <c r="Z175" s="25"/>
      <c r="AA175" s="13" t="s">
        <v>362</v>
      </c>
      <c r="AB175" s="42">
        <v>26.44</v>
      </c>
      <c r="AC175" s="42">
        <v>4.09</v>
      </c>
      <c r="AD175" s="42">
        <v>48.17</v>
      </c>
      <c r="AE175" s="42">
        <v>52.260000000000005</v>
      </c>
      <c r="AF175" s="42">
        <v>78.7</v>
      </c>
    </row>
    <row r="176" spans="1:32">
      <c r="A176" s="22" t="s">
        <v>172</v>
      </c>
      <c r="B176" s="16" t="s">
        <v>436</v>
      </c>
      <c r="C176" s="126" t="s">
        <v>408</v>
      </c>
      <c r="D176" s="18">
        <v>74.680000000000007</v>
      </c>
      <c r="E176" s="17">
        <v>22.590700000000002</v>
      </c>
      <c r="F176" s="18">
        <v>162.93</v>
      </c>
      <c r="G176" s="17">
        <v>49.286324999999998</v>
      </c>
      <c r="H176" s="45">
        <v>29.65</v>
      </c>
      <c r="I176" s="45">
        <v>8.969125</v>
      </c>
      <c r="J176" s="45">
        <v>58.6</v>
      </c>
      <c r="K176" s="45">
        <v>17.726500000000001</v>
      </c>
      <c r="L176" s="45">
        <v>88.25</v>
      </c>
      <c r="M176" s="45">
        <v>26.695625</v>
      </c>
      <c r="N176" s="18">
        <v>24.7</v>
      </c>
      <c r="O176" s="17">
        <v>7.4717499999999992</v>
      </c>
      <c r="P176" s="19"/>
      <c r="Q176" s="19"/>
      <c r="R176" s="19"/>
      <c r="S176" s="19">
        <v>19889898.465750895</v>
      </c>
      <c r="T176" s="19">
        <v>441135000</v>
      </c>
      <c r="U176" s="19">
        <v>539165000</v>
      </c>
      <c r="V176" s="19">
        <v>980300000</v>
      </c>
      <c r="W176" s="38">
        <v>53916500</v>
      </c>
      <c r="X176" s="40">
        <v>1034216500</v>
      </c>
      <c r="Y176" s="39">
        <v>103421650</v>
      </c>
      <c r="Z176" s="25"/>
      <c r="AA176" s="13" t="s">
        <v>362</v>
      </c>
      <c r="AB176" s="42">
        <v>29.65</v>
      </c>
      <c r="AC176" s="42">
        <v>4.58</v>
      </c>
      <c r="AD176" s="42">
        <v>54.02</v>
      </c>
      <c r="AE176" s="42">
        <v>58.6</v>
      </c>
      <c r="AF176" s="42">
        <v>88.25</v>
      </c>
    </row>
    <row r="177" spans="1:32">
      <c r="A177" s="22" t="s">
        <v>173</v>
      </c>
      <c r="B177" s="130" t="s">
        <v>473</v>
      </c>
      <c r="C177" s="126" t="s">
        <v>406</v>
      </c>
      <c r="D177" s="18">
        <v>88.23</v>
      </c>
      <c r="E177" s="17">
        <v>26.689575000000001</v>
      </c>
      <c r="F177" s="18">
        <v>192.49</v>
      </c>
      <c r="G177" s="17">
        <v>58.228225000000002</v>
      </c>
      <c r="H177" s="45">
        <v>35.03</v>
      </c>
      <c r="I177" s="45">
        <v>10.596575</v>
      </c>
      <c r="J177" s="45">
        <v>69.23</v>
      </c>
      <c r="K177" s="45">
        <v>20.942074999999999</v>
      </c>
      <c r="L177" s="45">
        <v>104.25999999999999</v>
      </c>
      <c r="M177" s="45">
        <v>31.538649999999997</v>
      </c>
      <c r="N177" s="18">
        <v>29.18</v>
      </c>
      <c r="O177" s="17">
        <v>8.8269500000000001</v>
      </c>
      <c r="P177" s="19">
        <v>47983.602453964551</v>
      </c>
      <c r="Q177" s="19">
        <v>2794000</v>
      </c>
      <c r="R177" s="19">
        <v>27940000</v>
      </c>
      <c r="S177" s="19"/>
      <c r="T177" s="19"/>
      <c r="U177" s="19"/>
      <c r="V177" s="19"/>
      <c r="W177" s="38">
        <v>279400</v>
      </c>
      <c r="X177" s="40">
        <v>3073400</v>
      </c>
      <c r="Y177" s="39"/>
      <c r="Z177" s="25">
        <v>2794000</v>
      </c>
      <c r="AA177" s="13" t="s">
        <v>362</v>
      </c>
      <c r="AB177" s="42">
        <v>35.03</v>
      </c>
      <c r="AC177" s="42">
        <v>5.41</v>
      </c>
      <c r="AD177" s="42">
        <v>63.82</v>
      </c>
      <c r="AE177" s="42">
        <v>69.23</v>
      </c>
      <c r="AF177" s="42">
        <v>104.25999999999999</v>
      </c>
    </row>
    <row r="178" spans="1:32">
      <c r="A178" s="22" t="s">
        <v>174</v>
      </c>
      <c r="B178" s="130" t="s">
        <v>473</v>
      </c>
      <c r="C178" s="126" t="s">
        <v>406</v>
      </c>
      <c r="D178" s="18">
        <v>55.84</v>
      </c>
      <c r="E178" s="17">
        <v>16.8916</v>
      </c>
      <c r="F178" s="18">
        <v>121.83000000000001</v>
      </c>
      <c r="G178" s="17">
        <v>36.853574999999999</v>
      </c>
      <c r="H178" s="45">
        <v>22.17</v>
      </c>
      <c r="I178" s="45">
        <v>6.7064250000000003</v>
      </c>
      <c r="J178" s="45">
        <v>43.82</v>
      </c>
      <c r="K178" s="45">
        <v>13.255549999999999</v>
      </c>
      <c r="L178" s="45">
        <v>65.990000000000009</v>
      </c>
      <c r="M178" s="45">
        <v>19.961975000000002</v>
      </c>
      <c r="N178" s="18">
        <v>18.47</v>
      </c>
      <c r="O178" s="17">
        <v>5.5871749999999993</v>
      </c>
      <c r="P178" s="19">
        <v>47973.636207613512</v>
      </c>
      <c r="Q178" s="19">
        <v>1768000</v>
      </c>
      <c r="R178" s="19">
        <v>17680000</v>
      </c>
      <c r="S178" s="19"/>
      <c r="T178" s="19"/>
      <c r="U178" s="19"/>
      <c r="V178" s="19"/>
      <c r="W178" s="38">
        <v>176800</v>
      </c>
      <c r="X178" s="40">
        <v>1944800</v>
      </c>
      <c r="Y178" s="39"/>
      <c r="Z178" s="25">
        <v>1768000</v>
      </c>
      <c r="AA178" s="13" t="s">
        <v>362</v>
      </c>
      <c r="AB178" s="42">
        <v>22.17</v>
      </c>
      <c r="AC178" s="42">
        <v>3.43</v>
      </c>
      <c r="AD178" s="42">
        <v>40.39</v>
      </c>
      <c r="AE178" s="42">
        <v>43.82</v>
      </c>
      <c r="AF178" s="42">
        <v>65.990000000000009</v>
      </c>
    </row>
    <row r="179" spans="1:32">
      <c r="A179" s="22" t="s">
        <v>175</v>
      </c>
      <c r="B179" s="130" t="s">
        <v>473</v>
      </c>
      <c r="C179" s="126" t="s">
        <v>406</v>
      </c>
      <c r="D179" s="18">
        <v>100.3</v>
      </c>
      <c r="E179" s="17">
        <v>30.34075</v>
      </c>
      <c r="F179" s="18">
        <v>218.82</v>
      </c>
      <c r="G179" s="17">
        <v>66.193049999999999</v>
      </c>
      <c r="H179" s="45">
        <v>39.82</v>
      </c>
      <c r="I179" s="45">
        <v>12.04555</v>
      </c>
      <c r="J179" s="45">
        <v>78.7</v>
      </c>
      <c r="K179" s="45">
        <v>23.806750000000001</v>
      </c>
      <c r="L179" s="45">
        <v>118.52</v>
      </c>
      <c r="M179" s="45">
        <v>35.8523</v>
      </c>
      <c r="N179" s="18">
        <v>33.17</v>
      </c>
      <c r="O179" s="17">
        <v>10.033925</v>
      </c>
      <c r="P179" s="19">
        <v>48993.058938967159</v>
      </c>
      <c r="Q179" s="19">
        <v>3243000</v>
      </c>
      <c r="R179" s="19">
        <v>32430000</v>
      </c>
      <c r="S179" s="19"/>
      <c r="T179" s="19"/>
      <c r="U179" s="19"/>
      <c r="V179" s="19"/>
      <c r="W179" s="38">
        <v>324300</v>
      </c>
      <c r="X179" s="40">
        <v>3567300</v>
      </c>
      <c r="Y179" s="39"/>
      <c r="Z179" s="25">
        <v>3243000</v>
      </c>
      <c r="AA179" s="13" t="s">
        <v>362</v>
      </c>
      <c r="AB179" s="42">
        <v>39.82</v>
      </c>
      <c r="AC179" s="42">
        <v>6.15</v>
      </c>
      <c r="AD179" s="42">
        <v>72.55</v>
      </c>
      <c r="AE179" s="42">
        <v>78.7</v>
      </c>
      <c r="AF179" s="42">
        <v>118.52</v>
      </c>
    </row>
    <row r="180" spans="1:32">
      <c r="A180" s="22" t="s">
        <v>176</v>
      </c>
      <c r="B180" s="15" t="s">
        <v>473</v>
      </c>
      <c r="C180" s="126" t="s">
        <v>406</v>
      </c>
      <c r="D180" s="18">
        <v>740.97</v>
      </c>
      <c r="E180" s="17">
        <v>224.14342500000001</v>
      </c>
      <c r="F180" s="18">
        <v>1616.5700000000002</v>
      </c>
      <c r="G180" s="17">
        <v>489.01242500000001</v>
      </c>
      <c r="H180" s="45">
        <v>294.19</v>
      </c>
      <c r="I180" s="45">
        <v>88.992474999999999</v>
      </c>
      <c r="J180" s="45">
        <v>581.41000000000008</v>
      </c>
      <c r="K180" s="45">
        <v>175.87652500000002</v>
      </c>
      <c r="L180" s="45">
        <v>875.6</v>
      </c>
      <c r="M180" s="45">
        <v>264.86899999999997</v>
      </c>
      <c r="N180" s="18">
        <v>245.04000000000002</v>
      </c>
      <c r="O180" s="17">
        <v>74.124600000000001</v>
      </c>
      <c r="P180" s="19">
        <v>42000</v>
      </c>
      <c r="Q180" s="19">
        <v>20539000</v>
      </c>
      <c r="R180" s="19">
        <v>205390000</v>
      </c>
      <c r="S180" s="19"/>
      <c r="T180" s="19"/>
      <c r="U180" s="19"/>
      <c r="V180" s="19"/>
      <c r="W180" s="38">
        <v>2053900</v>
      </c>
      <c r="X180" s="40">
        <v>22592900</v>
      </c>
      <c r="Y180" s="39"/>
      <c r="Z180" s="25">
        <v>20539000</v>
      </c>
      <c r="AA180" s="13" t="s">
        <v>407</v>
      </c>
      <c r="AB180" s="42">
        <v>294.19</v>
      </c>
      <c r="AC180" s="42">
        <v>45.46</v>
      </c>
      <c r="AD180" s="42">
        <v>535.95000000000005</v>
      </c>
      <c r="AE180" s="42">
        <v>581.41000000000008</v>
      </c>
      <c r="AF180" s="42">
        <v>875.6</v>
      </c>
    </row>
    <row r="181" spans="1:32">
      <c r="A181" s="22" t="s">
        <v>177</v>
      </c>
      <c r="B181" s="130" t="s">
        <v>473</v>
      </c>
      <c r="C181" s="126" t="s">
        <v>406</v>
      </c>
      <c r="D181" s="18">
        <v>87.65</v>
      </c>
      <c r="E181" s="17">
        <v>26.514125</v>
      </c>
      <c r="F181" s="18">
        <v>191.23000000000002</v>
      </c>
      <c r="G181" s="17">
        <v>57.847075000000004</v>
      </c>
      <c r="H181" s="45">
        <v>34.799999999999997</v>
      </c>
      <c r="I181" s="45">
        <v>10.526999999999999</v>
      </c>
      <c r="J181" s="45">
        <v>68.78</v>
      </c>
      <c r="K181" s="45">
        <v>20.805949999999999</v>
      </c>
      <c r="L181" s="45">
        <v>103.58</v>
      </c>
      <c r="M181" s="45">
        <v>31.33295</v>
      </c>
      <c r="N181" s="18">
        <v>28.98</v>
      </c>
      <c r="O181" s="17">
        <v>8.7664500000000007</v>
      </c>
      <c r="P181" s="19">
        <v>48991.241130169503</v>
      </c>
      <c r="Q181" s="19">
        <v>2834000</v>
      </c>
      <c r="R181" s="19">
        <v>28340000</v>
      </c>
      <c r="S181" s="19"/>
      <c r="T181" s="19"/>
      <c r="U181" s="19"/>
      <c r="V181" s="19"/>
      <c r="W181" s="38">
        <v>283400</v>
      </c>
      <c r="X181" s="40">
        <v>3117400</v>
      </c>
      <c r="Y181" s="39"/>
      <c r="Z181" s="25">
        <v>2834000</v>
      </c>
      <c r="AA181" s="13" t="s">
        <v>362</v>
      </c>
      <c r="AB181" s="42">
        <v>34.799999999999997</v>
      </c>
      <c r="AC181" s="42">
        <v>5.38</v>
      </c>
      <c r="AD181" s="42">
        <v>63.4</v>
      </c>
      <c r="AE181" s="42">
        <v>68.78</v>
      </c>
      <c r="AF181" s="42">
        <v>103.58</v>
      </c>
    </row>
    <row r="182" spans="1:32">
      <c r="A182" s="22" t="s">
        <v>178</v>
      </c>
      <c r="B182" s="130" t="s">
        <v>473</v>
      </c>
      <c r="C182" s="126" t="s">
        <v>406</v>
      </c>
      <c r="D182" s="18">
        <v>77.91</v>
      </c>
      <c r="E182" s="17">
        <v>23.567774999999997</v>
      </c>
      <c r="F182" s="18">
        <v>169.97</v>
      </c>
      <c r="G182" s="17">
        <v>51.415925000000001</v>
      </c>
      <c r="H182" s="45">
        <v>30.93</v>
      </c>
      <c r="I182" s="45">
        <v>9.356325</v>
      </c>
      <c r="J182" s="45">
        <v>61.13</v>
      </c>
      <c r="K182" s="45">
        <v>18.491824999999999</v>
      </c>
      <c r="L182" s="45">
        <v>92.06</v>
      </c>
      <c r="M182" s="45">
        <v>27.84815</v>
      </c>
      <c r="N182" s="18">
        <v>25.76</v>
      </c>
      <c r="O182" s="17">
        <v>7.7924000000000007</v>
      </c>
      <c r="P182" s="19">
        <v>48992.602972717112</v>
      </c>
      <c r="Q182" s="19">
        <v>2519000</v>
      </c>
      <c r="R182" s="19">
        <v>25190000</v>
      </c>
      <c r="S182" s="19"/>
      <c r="T182" s="19"/>
      <c r="U182" s="19"/>
      <c r="V182" s="19"/>
      <c r="W182" s="38">
        <v>251900</v>
      </c>
      <c r="X182" s="40">
        <v>2770900</v>
      </c>
      <c r="Y182" s="39"/>
      <c r="Z182" s="25">
        <v>2519000</v>
      </c>
      <c r="AA182" s="13" t="s">
        <v>362</v>
      </c>
      <c r="AB182" s="42">
        <v>30.93</v>
      </c>
      <c r="AC182" s="42">
        <v>4.78</v>
      </c>
      <c r="AD182" s="42">
        <v>56.35</v>
      </c>
      <c r="AE182" s="42">
        <v>61.13</v>
      </c>
      <c r="AF182" s="42">
        <v>92.06</v>
      </c>
    </row>
    <row r="183" spans="1:32">
      <c r="A183" s="22" t="s">
        <v>179</v>
      </c>
      <c r="B183" s="130" t="s">
        <v>473</v>
      </c>
      <c r="C183" s="126" t="s">
        <v>406</v>
      </c>
      <c r="D183" s="18">
        <v>77.91</v>
      </c>
      <c r="E183" s="17">
        <v>23.567774999999997</v>
      </c>
      <c r="F183" s="18">
        <v>169.97</v>
      </c>
      <c r="G183" s="17">
        <v>51.415925000000001</v>
      </c>
      <c r="H183" s="45">
        <v>30.93</v>
      </c>
      <c r="I183" s="45">
        <v>9.356325</v>
      </c>
      <c r="J183" s="45">
        <v>61.13</v>
      </c>
      <c r="K183" s="45">
        <v>18.491824999999999</v>
      </c>
      <c r="L183" s="45">
        <v>92.06</v>
      </c>
      <c r="M183" s="45">
        <v>27.84815</v>
      </c>
      <c r="N183" s="18">
        <v>25.76</v>
      </c>
      <c r="O183" s="17">
        <v>7.7924000000000007</v>
      </c>
      <c r="P183" s="19">
        <v>48992.602972717112</v>
      </c>
      <c r="Q183" s="19">
        <v>2519000</v>
      </c>
      <c r="R183" s="19">
        <v>25190000</v>
      </c>
      <c r="S183" s="19"/>
      <c r="T183" s="19"/>
      <c r="U183" s="19"/>
      <c r="V183" s="19"/>
      <c r="W183" s="38">
        <v>251900</v>
      </c>
      <c r="X183" s="40">
        <v>2770900</v>
      </c>
      <c r="Y183" s="39"/>
      <c r="Z183" s="25">
        <v>2519000</v>
      </c>
      <c r="AA183" s="13" t="s">
        <v>362</v>
      </c>
      <c r="AB183" s="42">
        <v>30.93</v>
      </c>
      <c r="AC183" s="42">
        <v>4.78</v>
      </c>
      <c r="AD183" s="42">
        <v>56.35</v>
      </c>
      <c r="AE183" s="42">
        <v>61.13</v>
      </c>
      <c r="AF183" s="42">
        <v>92.06</v>
      </c>
    </row>
    <row r="184" spans="1:32">
      <c r="A184" s="22" t="s">
        <v>180</v>
      </c>
      <c r="B184" s="130" t="s">
        <v>473</v>
      </c>
      <c r="C184" s="126" t="s">
        <v>406</v>
      </c>
      <c r="D184" s="18">
        <v>79.069999999999993</v>
      </c>
      <c r="E184" s="17">
        <v>23.918674999999997</v>
      </c>
      <c r="F184" s="18">
        <v>172.5</v>
      </c>
      <c r="G184" s="17">
        <v>52.181249999999999</v>
      </c>
      <c r="H184" s="45">
        <v>31.39</v>
      </c>
      <c r="I184" s="45">
        <v>9.4954750000000008</v>
      </c>
      <c r="J184" s="45">
        <v>62.04</v>
      </c>
      <c r="K184" s="45">
        <v>18.767099999999999</v>
      </c>
      <c r="L184" s="45">
        <v>93.43</v>
      </c>
      <c r="M184" s="45">
        <v>28.262575000000002</v>
      </c>
      <c r="N184" s="18">
        <v>26.15</v>
      </c>
      <c r="O184" s="17">
        <v>7.9103749999999993</v>
      </c>
      <c r="P184" s="19">
        <v>48983.111749910167</v>
      </c>
      <c r="Q184" s="19">
        <v>2556000</v>
      </c>
      <c r="R184" s="19">
        <v>25560000</v>
      </c>
      <c r="S184" s="19"/>
      <c r="T184" s="19"/>
      <c r="U184" s="19"/>
      <c r="V184" s="19"/>
      <c r="W184" s="38">
        <v>255600</v>
      </c>
      <c r="X184" s="40">
        <v>2811600</v>
      </c>
      <c r="Y184" s="39"/>
      <c r="Z184" s="25">
        <v>2556000</v>
      </c>
      <c r="AA184" s="13" t="s">
        <v>362</v>
      </c>
      <c r="AB184" s="42">
        <v>31.39</v>
      </c>
      <c r="AC184" s="42">
        <v>4.8499999999999996</v>
      </c>
      <c r="AD184" s="42">
        <v>57.19</v>
      </c>
      <c r="AE184" s="42">
        <v>62.04</v>
      </c>
      <c r="AF184" s="42">
        <v>93.43</v>
      </c>
    </row>
    <row r="185" spans="1:32">
      <c r="A185" s="22" t="s">
        <v>181</v>
      </c>
      <c r="B185" s="130" t="s">
        <v>473</v>
      </c>
      <c r="C185" s="126" t="s">
        <v>406</v>
      </c>
      <c r="D185" s="18">
        <v>78.75</v>
      </c>
      <c r="E185" s="17">
        <v>23.821874999999999</v>
      </c>
      <c r="F185" s="18">
        <v>171.81</v>
      </c>
      <c r="G185" s="17">
        <v>51.972524999999997</v>
      </c>
      <c r="H185" s="45">
        <v>31.27</v>
      </c>
      <c r="I185" s="45">
        <v>9.4591750000000001</v>
      </c>
      <c r="J185" s="45">
        <v>61.79</v>
      </c>
      <c r="K185" s="45">
        <v>18.691475000000001</v>
      </c>
      <c r="L185" s="45">
        <v>93.06</v>
      </c>
      <c r="M185" s="45">
        <v>28.150649999999999</v>
      </c>
      <c r="N185" s="18">
        <v>26.04</v>
      </c>
      <c r="O185" s="17">
        <v>7.8770999999999995</v>
      </c>
      <c r="P185" s="19">
        <v>48987.421719456579</v>
      </c>
      <c r="Q185" s="19">
        <v>2546000</v>
      </c>
      <c r="R185" s="19">
        <v>25460000</v>
      </c>
      <c r="S185" s="19"/>
      <c r="T185" s="19"/>
      <c r="U185" s="19"/>
      <c r="V185" s="19"/>
      <c r="W185" s="38">
        <v>254600</v>
      </c>
      <c r="X185" s="40">
        <v>2800600</v>
      </c>
      <c r="Y185" s="39"/>
      <c r="Z185" s="25">
        <v>2546000</v>
      </c>
      <c r="AA185" s="13" t="s">
        <v>362</v>
      </c>
      <c r="AB185" s="42">
        <v>31.27</v>
      </c>
      <c r="AC185" s="42">
        <v>4.83</v>
      </c>
      <c r="AD185" s="42">
        <v>56.96</v>
      </c>
      <c r="AE185" s="42">
        <v>61.79</v>
      </c>
      <c r="AF185" s="42">
        <v>93.06</v>
      </c>
    </row>
    <row r="186" spans="1:32">
      <c r="A186" s="22" t="s">
        <v>182</v>
      </c>
      <c r="B186" s="130" t="s">
        <v>473</v>
      </c>
      <c r="C186" s="126" t="s">
        <v>406</v>
      </c>
      <c r="D186" s="18">
        <v>56.07</v>
      </c>
      <c r="E186" s="17">
        <v>16.961175000000001</v>
      </c>
      <c r="F186" s="18">
        <v>122.33000000000001</v>
      </c>
      <c r="G186" s="17">
        <v>37.004825000000004</v>
      </c>
      <c r="H186" s="45">
        <v>22.26</v>
      </c>
      <c r="I186" s="45">
        <v>6.7336499999999999</v>
      </c>
      <c r="J186" s="45">
        <v>44</v>
      </c>
      <c r="K186" s="45">
        <v>13.309999999999999</v>
      </c>
      <c r="L186" s="45">
        <v>66.260000000000005</v>
      </c>
      <c r="M186" s="45">
        <v>20.04365</v>
      </c>
      <c r="N186" s="18">
        <v>18.54</v>
      </c>
      <c r="O186" s="17">
        <v>5.6083499999999997</v>
      </c>
      <c r="P186" s="19">
        <v>48993.610968299399</v>
      </c>
      <c r="Q186" s="19">
        <v>1813000</v>
      </c>
      <c r="R186" s="19">
        <v>18130000</v>
      </c>
      <c r="S186" s="19"/>
      <c r="T186" s="19"/>
      <c r="U186" s="19"/>
      <c r="V186" s="19"/>
      <c r="W186" s="38">
        <v>181300</v>
      </c>
      <c r="X186" s="40">
        <v>1994300</v>
      </c>
      <c r="Y186" s="39"/>
      <c r="Z186" s="25">
        <v>1813000</v>
      </c>
      <c r="AA186" s="13" t="s">
        <v>362</v>
      </c>
      <c r="AB186" s="42">
        <v>22.26</v>
      </c>
      <c r="AC186" s="42">
        <v>3.44</v>
      </c>
      <c r="AD186" s="42">
        <v>40.56</v>
      </c>
      <c r="AE186" s="42">
        <v>44</v>
      </c>
      <c r="AF186" s="42">
        <v>66.260000000000005</v>
      </c>
    </row>
    <row r="187" spans="1:32" s="92" customFormat="1">
      <c r="A187" s="83"/>
      <c r="B187" s="84"/>
      <c r="C187" s="127" t="s">
        <v>476</v>
      </c>
      <c r="D187" s="73">
        <v>923.35</v>
      </c>
      <c r="E187" s="85">
        <v>279.31337500000001</v>
      </c>
      <c r="F187" s="73">
        <v>2141.81</v>
      </c>
      <c r="G187" s="85">
        <v>647.89752499999997</v>
      </c>
      <c r="H187" s="74">
        <v>493.94</v>
      </c>
      <c r="I187" s="74">
        <v>149.41684999999998</v>
      </c>
      <c r="J187" s="74">
        <v>724.52</v>
      </c>
      <c r="K187" s="74">
        <v>219.16729999999998</v>
      </c>
      <c r="L187" s="74">
        <v>1218.46</v>
      </c>
      <c r="M187" s="74">
        <v>368.58415000000002</v>
      </c>
      <c r="N187" s="73">
        <v>305.33</v>
      </c>
      <c r="O187" s="85">
        <v>92.362324999999998</v>
      </c>
      <c r="P187" s="86"/>
      <c r="Q187" s="86"/>
      <c r="R187" s="86"/>
      <c r="S187" s="86">
        <v>9400000</v>
      </c>
      <c r="T187" s="86">
        <v>2740606200</v>
      </c>
      <c r="U187" s="86">
        <v>3349629800.0000005</v>
      </c>
      <c r="V187" s="86">
        <v>6090236000</v>
      </c>
      <c r="W187" s="87">
        <v>334962980.00000006</v>
      </c>
      <c r="X187" s="88">
        <v>6425198980</v>
      </c>
      <c r="Y187" s="89">
        <v>642519898</v>
      </c>
      <c r="Z187" s="37"/>
      <c r="AA187" s="90"/>
      <c r="AB187" s="91">
        <v>493.94</v>
      </c>
      <c r="AC187" s="91">
        <v>56.65</v>
      </c>
      <c r="AD187" s="91">
        <v>667.87</v>
      </c>
      <c r="AE187" s="91">
        <v>724.52</v>
      </c>
      <c r="AF187" s="91">
        <v>1218.46</v>
      </c>
    </row>
    <row r="188" spans="1:32" s="92" customFormat="1">
      <c r="A188" s="83"/>
      <c r="B188" s="84"/>
      <c r="C188" s="127" t="s">
        <v>476</v>
      </c>
      <c r="D188" s="73">
        <v>115.82</v>
      </c>
      <c r="E188" s="85">
        <v>35.035549999999994</v>
      </c>
      <c r="F188" s="73">
        <v>268.65999999999997</v>
      </c>
      <c r="G188" s="85">
        <v>81.269649999999984</v>
      </c>
      <c r="H188" s="74">
        <v>61.96</v>
      </c>
      <c r="I188" s="74">
        <v>18.742899999999999</v>
      </c>
      <c r="J188" s="74">
        <v>90.88</v>
      </c>
      <c r="K188" s="74">
        <v>27.491199999999999</v>
      </c>
      <c r="L188" s="74">
        <v>152.84</v>
      </c>
      <c r="M188" s="74">
        <v>46.234099999999998</v>
      </c>
      <c r="N188" s="73">
        <v>38.299999999999997</v>
      </c>
      <c r="O188" s="85">
        <v>11.585749999999999</v>
      </c>
      <c r="P188" s="86"/>
      <c r="Q188" s="86"/>
      <c r="R188" s="86"/>
      <c r="S188" s="86">
        <v>9400000</v>
      </c>
      <c r="T188" s="86">
        <v>343770300</v>
      </c>
      <c r="U188" s="86">
        <v>420163700.00000006</v>
      </c>
      <c r="V188" s="86">
        <v>763934000</v>
      </c>
      <c r="W188" s="87">
        <v>42016370.000000007</v>
      </c>
      <c r="X188" s="88">
        <v>805950370</v>
      </c>
      <c r="Y188" s="89">
        <v>80595037</v>
      </c>
      <c r="Z188" s="37"/>
      <c r="AA188" s="90"/>
      <c r="AB188" s="91">
        <v>61.96</v>
      </c>
      <c r="AC188" s="91">
        <v>7.11</v>
      </c>
      <c r="AD188" s="91">
        <v>83.77</v>
      </c>
      <c r="AE188" s="91">
        <v>90.88</v>
      </c>
      <c r="AF188" s="91">
        <v>152.84</v>
      </c>
    </row>
    <row r="189" spans="1:32">
      <c r="A189" s="404" t="s">
        <v>413</v>
      </c>
      <c r="B189" s="405"/>
      <c r="C189" s="125">
        <v>41</v>
      </c>
      <c r="D189" s="27">
        <v>4887.6699999999983</v>
      </c>
      <c r="E189" s="27">
        <v>1478.5201749999999</v>
      </c>
      <c r="F189" s="27">
        <v>10663.499999999996</v>
      </c>
      <c r="G189" s="27">
        <v>3225.7087499999993</v>
      </c>
      <c r="H189" s="27">
        <v>1940.6400000000003</v>
      </c>
      <c r="I189" s="27">
        <v>587.04359999999997</v>
      </c>
      <c r="J189" s="27">
        <v>3835.19</v>
      </c>
      <c r="K189" s="27">
        <v>1160.1449750000002</v>
      </c>
      <c r="L189" s="27">
        <v>5775.8300000000027</v>
      </c>
      <c r="M189" s="27">
        <v>1747.1885749999997</v>
      </c>
      <c r="N189" s="27">
        <v>1616.3200000000002</v>
      </c>
      <c r="O189" s="27">
        <v>488.93680000000006</v>
      </c>
      <c r="P189" s="28">
        <v>46676.843467932878</v>
      </c>
      <c r="Q189" s="28">
        <v>68169000</v>
      </c>
      <c r="R189" s="28">
        <v>681690000</v>
      </c>
      <c r="S189" s="28">
        <v>22000991.128879037</v>
      </c>
      <c r="T189" s="28">
        <v>17260245000</v>
      </c>
      <c r="U189" s="28">
        <v>21095855000</v>
      </c>
      <c r="V189" s="28">
        <v>38356100000</v>
      </c>
      <c r="W189" s="28">
        <v>2109585500</v>
      </c>
      <c r="X189" s="28">
        <v>40465685500</v>
      </c>
      <c r="Y189" s="39"/>
      <c r="Z189" s="25"/>
      <c r="AB189" s="42"/>
      <c r="AC189" s="42"/>
      <c r="AD189" s="42"/>
      <c r="AE189" s="42"/>
      <c r="AF189" s="42"/>
    </row>
    <row r="190" spans="1:32">
      <c r="A190" s="22" t="s">
        <v>183</v>
      </c>
      <c r="B190" s="16" t="s">
        <v>436</v>
      </c>
      <c r="C190" s="126" t="s">
        <v>408</v>
      </c>
      <c r="D190" s="18">
        <v>50.55</v>
      </c>
      <c r="E190" s="17">
        <v>15.291374999999999</v>
      </c>
      <c r="F190" s="18">
        <v>110.28</v>
      </c>
      <c r="G190" s="17">
        <v>33.359699999999997</v>
      </c>
      <c r="H190" s="45">
        <v>20.07</v>
      </c>
      <c r="I190" s="45">
        <v>6.0711750000000002</v>
      </c>
      <c r="J190" s="45">
        <v>39.660000000000004</v>
      </c>
      <c r="K190" s="45">
        <v>11.997150000000001</v>
      </c>
      <c r="L190" s="45">
        <v>59.730000000000004</v>
      </c>
      <c r="M190" s="45">
        <v>18.068325000000002</v>
      </c>
      <c r="N190" s="18">
        <v>16.72</v>
      </c>
      <c r="O190" s="17">
        <v>5.0577999999999994</v>
      </c>
      <c r="P190" s="19"/>
      <c r="Q190" s="19"/>
      <c r="R190" s="19"/>
      <c r="S190" s="19">
        <v>22473223.680069067</v>
      </c>
      <c r="T190" s="19">
        <v>337365000</v>
      </c>
      <c r="U190" s="19">
        <v>412335000.00000006</v>
      </c>
      <c r="V190" s="19">
        <v>749700000</v>
      </c>
      <c r="W190" s="38">
        <v>41233500.000000007</v>
      </c>
      <c r="X190" s="40">
        <v>790933500</v>
      </c>
      <c r="Y190" s="39">
        <v>79093350</v>
      </c>
      <c r="Z190" s="25"/>
      <c r="AA190" s="13" t="s">
        <v>362</v>
      </c>
      <c r="AB190" s="42">
        <v>20.07</v>
      </c>
      <c r="AC190" s="42">
        <v>3.1</v>
      </c>
      <c r="AD190" s="42">
        <v>36.56</v>
      </c>
      <c r="AE190" s="42">
        <v>39.660000000000004</v>
      </c>
      <c r="AF190" s="42">
        <v>59.730000000000004</v>
      </c>
    </row>
    <row r="191" spans="1:32">
      <c r="A191" s="22" t="s">
        <v>184</v>
      </c>
      <c r="B191" s="16" t="s">
        <v>436</v>
      </c>
      <c r="C191" s="126" t="s">
        <v>408</v>
      </c>
      <c r="D191" s="18">
        <v>81.66</v>
      </c>
      <c r="E191" s="17">
        <v>24.70215</v>
      </c>
      <c r="F191" s="18">
        <v>178.16</v>
      </c>
      <c r="G191" s="17">
        <v>53.8934</v>
      </c>
      <c r="H191" s="45">
        <v>32.42</v>
      </c>
      <c r="I191" s="45">
        <v>9.8070500000000003</v>
      </c>
      <c r="J191" s="45">
        <v>64.08</v>
      </c>
      <c r="K191" s="45">
        <v>19.3842</v>
      </c>
      <c r="L191" s="45">
        <v>96.5</v>
      </c>
      <c r="M191" s="45">
        <v>29.19125</v>
      </c>
      <c r="N191" s="18">
        <v>27</v>
      </c>
      <c r="O191" s="17">
        <v>8.1675000000000004</v>
      </c>
      <c r="P191" s="19"/>
      <c r="Q191" s="19"/>
      <c r="R191" s="19"/>
      <c r="S191" s="19">
        <v>22475850.475197334</v>
      </c>
      <c r="T191" s="19">
        <v>545085000</v>
      </c>
      <c r="U191" s="19">
        <v>666215000</v>
      </c>
      <c r="V191" s="19">
        <v>1211300000</v>
      </c>
      <c r="W191" s="38">
        <v>66621500</v>
      </c>
      <c r="X191" s="40">
        <v>1277921500</v>
      </c>
      <c r="Y191" s="39">
        <v>127792150</v>
      </c>
      <c r="Z191" s="25"/>
      <c r="AA191" s="13" t="s">
        <v>362</v>
      </c>
      <c r="AB191" s="42">
        <v>32.42</v>
      </c>
      <c r="AC191" s="42">
        <v>5.01</v>
      </c>
      <c r="AD191" s="42">
        <v>59.07</v>
      </c>
      <c r="AE191" s="42">
        <v>64.08</v>
      </c>
      <c r="AF191" s="42">
        <v>96.5</v>
      </c>
    </row>
    <row r="192" spans="1:32">
      <c r="A192" s="22" t="s">
        <v>185</v>
      </c>
      <c r="B192" s="16" t="s">
        <v>436</v>
      </c>
      <c r="C192" s="126" t="s">
        <v>408</v>
      </c>
      <c r="D192" s="18">
        <v>78.75</v>
      </c>
      <c r="E192" s="17">
        <v>23.821874999999999</v>
      </c>
      <c r="F192" s="18">
        <v>171.81</v>
      </c>
      <c r="G192" s="17">
        <v>51.972524999999997</v>
      </c>
      <c r="H192" s="45">
        <v>31.27</v>
      </c>
      <c r="I192" s="45">
        <v>9.4591750000000001</v>
      </c>
      <c r="J192" s="45">
        <v>61.79</v>
      </c>
      <c r="K192" s="45">
        <v>18.691475000000001</v>
      </c>
      <c r="L192" s="45">
        <v>93.06</v>
      </c>
      <c r="M192" s="45">
        <v>28.150649999999999</v>
      </c>
      <c r="N192" s="18">
        <v>26.04</v>
      </c>
      <c r="O192" s="17">
        <v>7.8770999999999995</v>
      </c>
      <c r="P192" s="19"/>
      <c r="Q192" s="19"/>
      <c r="R192" s="19"/>
      <c r="S192" s="19">
        <v>22475336.728396401</v>
      </c>
      <c r="T192" s="19">
        <v>525645000</v>
      </c>
      <c r="U192" s="19">
        <v>642455000</v>
      </c>
      <c r="V192" s="19">
        <v>1168100000</v>
      </c>
      <c r="W192" s="38">
        <v>64245500</v>
      </c>
      <c r="X192" s="40">
        <v>1232345500</v>
      </c>
      <c r="Y192" s="39">
        <v>123234550</v>
      </c>
      <c r="Z192" s="25"/>
      <c r="AA192" s="13" t="s">
        <v>362</v>
      </c>
      <c r="AB192" s="42">
        <v>31.27</v>
      </c>
      <c r="AC192" s="42">
        <v>4.83</v>
      </c>
      <c r="AD192" s="42">
        <v>56.96</v>
      </c>
      <c r="AE192" s="42">
        <v>61.79</v>
      </c>
      <c r="AF192" s="42">
        <v>93.06</v>
      </c>
    </row>
    <row r="193" spans="1:32">
      <c r="A193" s="22" t="s">
        <v>186</v>
      </c>
      <c r="B193" s="16" t="s">
        <v>436</v>
      </c>
      <c r="C193" s="126" t="s">
        <v>408</v>
      </c>
      <c r="D193" s="18">
        <v>78.75</v>
      </c>
      <c r="E193" s="17">
        <v>23.821874999999999</v>
      </c>
      <c r="F193" s="18">
        <v>171.81</v>
      </c>
      <c r="G193" s="17">
        <v>51.972524999999997</v>
      </c>
      <c r="H193" s="45">
        <v>31.27</v>
      </c>
      <c r="I193" s="45">
        <v>9.4591750000000001</v>
      </c>
      <c r="J193" s="45">
        <v>61.79</v>
      </c>
      <c r="K193" s="45">
        <v>18.691475000000001</v>
      </c>
      <c r="L193" s="45">
        <v>93.06</v>
      </c>
      <c r="M193" s="45">
        <v>28.150649999999999</v>
      </c>
      <c r="N193" s="18">
        <v>26.04</v>
      </c>
      <c r="O193" s="17">
        <v>7.8770999999999995</v>
      </c>
      <c r="P193" s="19"/>
      <c r="Q193" s="19"/>
      <c r="R193" s="19"/>
      <c r="S193" s="19">
        <v>22475336.728396401</v>
      </c>
      <c r="T193" s="19">
        <v>525645000</v>
      </c>
      <c r="U193" s="19">
        <v>642455000</v>
      </c>
      <c r="V193" s="19">
        <v>1168100000</v>
      </c>
      <c r="W193" s="38">
        <v>64245500</v>
      </c>
      <c r="X193" s="40">
        <v>1232345500</v>
      </c>
      <c r="Y193" s="39">
        <v>123234550</v>
      </c>
      <c r="Z193" s="25"/>
      <c r="AA193" s="13" t="s">
        <v>362</v>
      </c>
      <c r="AB193" s="42">
        <v>31.27</v>
      </c>
      <c r="AC193" s="42">
        <v>4.83</v>
      </c>
      <c r="AD193" s="42">
        <v>56.96</v>
      </c>
      <c r="AE193" s="42">
        <v>61.79</v>
      </c>
      <c r="AF193" s="42">
        <v>93.06</v>
      </c>
    </row>
    <row r="194" spans="1:32">
      <c r="A194" s="22" t="s">
        <v>187</v>
      </c>
      <c r="B194" s="16" t="s">
        <v>436</v>
      </c>
      <c r="C194" s="126" t="s">
        <v>408</v>
      </c>
      <c r="D194" s="18">
        <v>78.75</v>
      </c>
      <c r="E194" s="17">
        <v>23.821874999999999</v>
      </c>
      <c r="F194" s="18">
        <v>171.81</v>
      </c>
      <c r="G194" s="17">
        <v>51.972524999999997</v>
      </c>
      <c r="H194" s="45">
        <v>31.27</v>
      </c>
      <c r="I194" s="45">
        <v>9.4591750000000001</v>
      </c>
      <c r="J194" s="45">
        <v>61.79</v>
      </c>
      <c r="K194" s="45">
        <v>18.691475000000001</v>
      </c>
      <c r="L194" s="45">
        <v>93.06</v>
      </c>
      <c r="M194" s="45">
        <v>28.150649999999999</v>
      </c>
      <c r="N194" s="18">
        <v>26.04</v>
      </c>
      <c r="O194" s="17">
        <v>7.8770999999999995</v>
      </c>
      <c r="P194" s="19"/>
      <c r="Q194" s="19"/>
      <c r="R194" s="19"/>
      <c r="S194" s="19">
        <v>22475336.728396401</v>
      </c>
      <c r="T194" s="19">
        <v>525645000</v>
      </c>
      <c r="U194" s="19">
        <v>642455000</v>
      </c>
      <c r="V194" s="19">
        <v>1168100000</v>
      </c>
      <c r="W194" s="38">
        <v>64245500</v>
      </c>
      <c r="X194" s="40">
        <v>1232345500</v>
      </c>
      <c r="Y194" s="39">
        <v>123234550</v>
      </c>
      <c r="Z194" s="25"/>
      <c r="AA194" s="13" t="s">
        <v>362</v>
      </c>
      <c r="AB194" s="42">
        <v>31.27</v>
      </c>
      <c r="AC194" s="42">
        <v>4.83</v>
      </c>
      <c r="AD194" s="42">
        <v>56.96</v>
      </c>
      <c r="AE194" s="42">
        <v>61.79</v>
      </c>
      <c r="AF194" s="42">
        <v>93.06</v>
      </c>
    </row>
    <row r="195" spans="1:32">
      <c r="A195" s="22" t="s">
        <v>188</v>
      </c>
      <c r="B195" s="16" t="s">
        <v>436</v>
      </c>
      <c r="C195" s="126" t="s">
        <v>408</v>
      </c>
      <c r="D195" s="18">
        <v>78.75</v>
      </c>
      <c r="E195" s="17">
        <v>23.821874999999999</v>
      </c>
      <c r="F195" s="18">
        <v>171.81</v>
      </c>
      <c r="G195" s="17">
        <v>51.972524999999997</v>
      </c>
      <c r="H195" s="45">
        <v>31.27</v>
      </c>
      <c r="I195" s="45">
        <v>9.4591750000000001</v>
      </c>
      <c r="J195" s="45">
        <v>61.79</v>
      </c>
      <c r="K195" s="45">
        <v>18.691475000000001</v>
      </c>
      <c r="L195" s="45">
        <v>93.06</v>
      </c>
      <c r="M195" s="45">
        <v>28.150649999999999</v>
      </c>
      <c r="N195" s="18">
        <v>26.04</v>
      </c>
      <c r="O195" s="17">
        <v>7.8770999999999995</v>
      </c>
      <c r="P195" s="19"/>
      <c r="Q195" s="19"/>
      <c r="R195" s="19"/>
      <c r="S195" s="19">
        <v>22475336.728396401</v>
      </c>
      <c r="T195" s="19">
        <v>525645000</v>
      </c>
      <c r="U195" s="19">
        <v>642455000</v>
      </c>
      <c r="V195" s="19">
        <v>1168100000</v>
      </c>
      <c r="W195" s="38">
        <v>64245500</v>
      </c>
      <c r="X195" s="40">
        <v>1232345500</v>
      </c>
      <c r="Y195" s="39">
        <v>123234550</v>
      </c>
      <c r="Z195" s="25"/>
      <c r="AA195" s="13" t="s">
        <v>362</v>
      </c>
      <c r="AB195" s="42">
        <v>31.27</v>
      </c>
      <c r="AC195" s="42">
        <v>4.83</v>
      </c>
      <c r="AD195" s="42">
        <v>56.96</v>
      </c>
      <c r="AE195" s="42">
        <v>61.79</v>
      </c>
      <c r="AF195" s="42">
        <v>93.06</v>
      </c>
    </row>
    <row r="196" spans="1:32">
      <c r="A196" s="22" t="s">
        <v>189</v>
      </c>
      <c r="B196" s="16" t="s">
        <v>436</v>
      </c>
      <c r="C196" s="126" t="s">
        <v>408</v>
      </c>
      <c r="D196" s="18">
        <v>78.75</v>
      </c>
      <c r="E196" s="17">
        <v>23.821874999999999</v>
      </c>
      <c r="F196" s="18">
        <v>171.81</v>
      </c>
      <c r="G196" s="17">
        <v>51.972524999999997</v>
      </c>
      <c r="H196" s="45">
        <v>31.27</v>
      </c>
      <c r="I196" s="45">
        <v>9.4591750000000001</v>
      </c>
      <c r="J196" s="45">
        <v>61.79</v>
      </c>
      <c r="K196" s="45">
        <v>18.691475000000001</v>
      </c>
      <c r="L196" s="45">
        <v>93.06</v>
      </c>
      <c r="M196" s="45">
        <v>28.150649999999999</v>
      </c>
      <c r="N196" s="18">
        <v>26.04</v>
      </c>
      <c r="O196" s="17">
        <v>7.8770999999999995</v>
      </c>
      <c r="P196" s="19"/>
      <c r="Q196" s="19"/>
      <c r="R196" s="19"/>
      <c r="S196" s="19">
        <v>22475336.728396401</v>
      </c>
      <c r="T196" s="19">
        <v>525645000</v>
      </c>
      <c r="U196" s="19">
        <v>642455000</v>
      </c>
      <c r="V196" s="19">
        <v>1168100000</v>
      </c>
      <c r="W196" s="38">
        <v>64245500</v>
      </c>
      <c r="X196" s="40">
        <v>1232345500</v>
      </c>
      <c r="Y196" s="39">
        <v>123234550</v>
      </c>
      <c r="Z196" s="25"/>
      <c r="AA196" s="13" t="s">
        <v>362</v>
      </c>
      <c r="AB196" s="42">
        <v>31.27</v>
      </c>
      <c r="AC196" s="42">
        <v>4.83</v>
      </c>
      <c r="AD196" s="42">
        <v>56.96</v>
      </c>
      <c r="AE196" s="42">
        <v>61.79</v>
      </c>
      <c r="AF196" s="42">
        <v>93.06</v>
      </c>
    </row>
    <row r="197" spans="1:32">
      <c r="A197" s="22" t="s">
        <v>190</v>
      </c>
      <c r="B197" s="16" t="s">
        <v>436</v>
      </c>
      <c r="C197" s="126" t="s">
        <v>408</v>
      </c>
      <c r="D197" s="18">
        <v>78.75</v>
      </c>
      <c r="E197" s="17">
        <v>23.821874999999999</v>
      </c>
      <c r="F197" s="18">
        <v>171.81</v>
      </c>
      <c r="G197" s="17">
        <v>51.972524999999997</v>
      </c>
      <c r="H197" s="45">
        <v>31.27</v>
      </c>
      <c r="I197" s="45">
        <v>9.4591750000000001</v>
      </c>
      <c r="J197" s="45">
        <v>61.79</v>
      </c>
      <c r="K197" s="45">
        <v>18.691475000000001</v>
      </c>
      <c r="L197" s="45">
        <v>93.06</v>
      </c>
      <c r="M197" s="45">
        <v>28.150649999999999</v>
      </c>
      <c r="N197" s="18">
        <v>26.04</v>
      </c>
      <c r="O197" s="17">
        <v>7.8770999999999995</v>
      </c>
      <c r="P197" s="19"/>
      <c r="Q197" s="19"/>
      <c r="R197" s="19"/>
      <c r="S197" s="19">
        <v>22475336.728396401</v>
      </c>
      <c r="T197" s="19">
        <v>525645000</v>
      </c>
      <c r="U197" s="19">
        <v>642455000</v>
      </c>
      <c r="V197" s="19">
        <v>1168100000</v>
      </c>
      <c r="W197" s="38">
        <v>64245500</v>
      </c>
      <c r="X197" s="40">
        <v>1232345500</v>
      </c>
      <c r="Y197" s="39">
        <v>123234550</v>
      </c>
      <c r="Z197" s="25"/>
      <c r="AA197" s="13" t="s">
        <v>362</v>
      </c>
      <c r="AB197" s="42">
        <v>31.27</v>
      </c>
      <c r="AC197" s="42">
        <v>4.83</v>
      </c>
      <c r="AD197" s="42">
        <v>56.96</v>
      </c>
      <c r="AE197" s="42">
        <v>61.79</v>
      </c>
      <c r="AF197" s="42">
        <v>93.06</v>
      </c>
    </row>
    <row r="198" spans="1:32">
      <c r="A198" s="22" t="s">
        <v>191</v>
      </c>
      <c r="B198" s="16" t="s">
        <v>436</v>
      </c>
      <c r="C198" s="126" t="s">
        <v>408</v>
      </c>
      <c r="D198" s="18">
        <v>112.03</v>
      </c>
      <c r="E198" s="17">
        <v>33.889074999999998</v>
      </c>
      <c r="F198" s="18">
        <v>244.41</v>
      </c>
      <c r="G198" s="17">
        <v>73.934024999999991</v>
      </c>
      <c r="H198" s="45">
        <v>44.48</v>
      </c>
      <c r="I198" s="45">
        <v>13.455199999999998</v>
      </c>
      <c r="J198" s="45">
        <v>87.9</v>
      </c>
      <c r="K198" s="45">
        <v>26.589750000000002</v>
      </c>
      <c r="L198" s="45">
        <v>132.38</v>
      </c>
      <c r="M198" s="45">
        <v>40.04495</v>
      </c>
      <c r="N198" s="18">
        <v>37.049999999999997</v>
      </c>
      <c r="O198" s="17">
        <v>11.207624999999998</v>
      </c>
      <c r="P198" s="19"/>
      <c r="Q198" s="19"/>
      <c r="R198" s="19"/>
      <c r="S198" s="19">
        <v>22483558.821530413</v>
      </c>
      <c r="T198" s="19">
        <v>748035000</v>
      </c>
      <c r="U198" s="19">
        <v>914265000.00000012</v>
      </c>
      <c r="V198" s="19">
        <v>1662300000</v>
      </c>
      <c r="W198" s="38">
        <v>91426500.000000015</v>
      </c>
      <c r="X198" s="40">
        <v>1753726500</v>
      </c>
      <c r="Y198" s="39">
        <v>175372650</v>
      </c>
      <c r="Z198" s="25"/>
      <c r="AA198" s="13" t="s">
        <v>362</v>
      </c>
      <c r="AB198" s="42">
        <v>44.48</v>
      </c>
      <c r="AC198" s="42">
        <v>6.87</v>
      </c>
      <c r="AD198" s="42">
        <v>81.03</v>
      </c>
      <c r="AE198" s="42">
        <v>87.9</v>
      </c>
      <c r="AF198" s="42">
        <v>132.38</v>
      </c>
    </row>
    <row r="199" spans="1:32">
      <c r="A199" s="22" t="s">
        <v>192</v>
      </c>
      <c r="B199" s="16" t="s">
        <v>436</v>
      </c>
      <c r="C199" s="126" t="s">
        <v>408</v>
      </c>
      <c r="D199" s="18">
        <v>105.76</v>
      </c>
      <c r="E199" s="17">
        <v>31.9924</v>
      </c>
      <c r="F199" s="18">
        <v>230.74</v>
      </c>
      <c r="G199" s="17">
        <v>69.798850000000002</v>
      </c>
      <c r="H199" s="45">
        <v>41.99</v>
      </c>
      <c r="I199" s="45">
        <v>12.701975000000001</v>
      </c>
      <c r="J199" s="45">
        <v>82.99</v>
      </c>
      <c r="K199" s="45">
        <v>25.104474999999997</v>
      </c>
      <c r="L199" s="45">
        <v>124.98</v>
      </c>
      <c r="M199" s="45">
        <v>37.806449999999998</v>
      </c>
      <c r="N199" s="18">
        <v>34.97</v>
      </c>
      <c r="O199" s="17">
        <v>10.578424999999999</v>
      </c>
      <c r="P199" s="19"/>
      <c r="Q199" s="19"/>
      <c r="R199" s="19"/>
      <c r="S199" s="19">
        <v>22478880.382699713</v>
      </c>
      <c r="T199" s="19">
        <v>706050000</v>
      </c>
      <c r="U199" s="19">
        <v>862950000.00000012</v>
      </c>
      <c r="V199" s="19">
        <v>1569000000</v>
      </c>
      <c r="W199" s="38">
        <v>86295000.000000015</v>
      </c>
      <c r="X199" s="40">
        <v>1655295000</v>
      </c>
      <c r="Y199" s="39">
        <v>165529500</v>
      </c>
      <c r="Z199" s="25"/>
      <c r="AA199" s="13" t="s">
        <v>362</v>
      </c>
      <c r="AB199" s="42">
        <v>41.99</v>
      </c>
      <c r="AC199" s="42">
        <v>6.49</v>
      </c>
      <c r="AD199" s="42">
        <v>76.5</v>
      </c>
      <c r="AE199" s="42">
        <v>82.99</v>
      </c>
      <c r="AF199" s="42">
        <v>124.98</v>
      </c>
    </row>
    <row r="200" spans="1:32">
      <c r="A200" s="22" t="s">
        <v>193</v>
      </c>
      <c r="B200" s="16" t="s">
        <v>436</v>
      </c>
      <c r="C200" s="126" t="s">
        <v>408</v>
      </c>
      <c r="D200" s="18">
        <v>112.03</v>
      </c>
      <c r="E200" s="17">
        <v>33.889074999999998</v>
      </c>
      <c r="F200" s="18">
        <v>244.41</v>
      </c>
      <c r="G200" s="17">
        <v>73.934024999999991</v>
      </c>
      <c r="H200" s="45">
        <v>44.48</v>
      </c>
      <c r="I200" s="45">
        <v>13.455199999999998</v>
      </c>
      <c r="J200" s="45">
        <v>87.9</v>
      </c>
      <c r="K200" s="45">
        <v>26.589750000000002</v>
      </c>
      <c r="L200" s="45">
        <v>132.38</v>
      </c>
      <c r="M200" s="45">
        <v>40.04495</v>
      </c>
      <c r="N200" s="18">
        <v>37.049999999999997</v>
      </c>
      <c r="O200" s="17">
        <v>11.207624999999998</v>
      </c>
      <c r="P200" s="19"/>
      <c r="Q200" s="19"/>
      <c r="R200" s="19"/>
      <c r="S200" s="19">
        <v>22483558.821530413</v>
      </c>
      <c r="T200" s="19">
        <v>748035000</v>
      </c>
      <c r="U200" s="19">
        <v>914265000.00000012</v>
      </c>
      <c r="V200" s="19">
        <v>1662300000</v>
      </c>
      <c r="W200" s="38">
        <v>91426500.000000015</v>
      </c>
      <c r="X200" s="40">
        <v>1753726500</v>
      </c>
      <c r="Y200" s="39">
        <v>175372650</v>
      </c>
      <c r="Z200" s="25"/>
      <c r="AA200" s="13" t="s">
        <v>362</v>
      </c>
      <c r="AB200" s="42">
        <v>44.48</v>
      </c>
      <c r="AC200" s="42">
        <v>6.87</v>
      </c>
      <c r="AD200" s="42">
        <v>81.03</v>
      </c>
      <c r="AE200" s="42">
        <v>87.9</v>
      </c>
      <c r="AF200" s="42">
        <v>132.38</v>
      </c>
    </row>
    <row r="201" spans="1:32">
      <c r="A201" s="22" t="s">
        <v>194</v>
      </c>
      <c r="B201" s="16" t="s">
        <v>436</v>
      </c>
      <c r="C201" s="126" t="s">
        <v>408</v>
      </c>
      <c r="D201" s="18">
        <v>78.75</v>
      </c>
      <c r="E201" s="17">
        <v>23.821874999999999</v>
      </c>
      <c r="F201" s="18">
        <v>171.81</v>
      </c>
      <c r="G201" s="17">
        <v>51.972524999999997</v>
      </c>
      <c r="H201" s="45">
        <v>31.27</v>
      </c>
      <c r="I201" s="45">
        <v>9.4591750000000001</v>
      </c>
      <c r="J201" s="45">
        <v>61.79</v>
      </c>
      <c r="K201" s="45">
        <v>18.691475000000001</v>
      </c>
      <c r="L201" s="45">
        <v>93.06</v>
      </c>
      <c r="M201" s="45">
        <v>28.150649999999999</v>
      </c>
      <c r="N201" s="18">
        <v>26.04</v>
      </c>
      <c r="O201" s="17">
        <v>7.8770999999999995</v>
      </c>
      <c r="P201" s="19"/>
      <c r="Q201" s="19"/>
      <c r="R201" s="19"/>
      <c r="S201" s="19">
        <v>21282398.728943802</v>
      </c>
      <c r="T201" s="19">
        <v>497745000</v>
      </c>
      <c r="U201" s="19">
        <v>608355000</v>
      </c>
      <c r="V201" s="19">
        <v>1106100000</v>
      </c>
      <c r="W201" s="38">
        <v>60835500</v>
      </c>
      <c r="X201" s="40">
        <v>1166935500</v>
      </c>
      <c r="Y201" s="39">
        <v>116693550</v>
      </c>
      <c r="Z201" s="25"/>
      <c r="AA201" s="13" t="s">
        <v>362</v>
      </c>
      <c r="AB201" s="42">
        <v>31.27</v>
      </c>
      <c r="AC201" s="42">
        <v>4.83</v>
      </c>
      <c r="AD201" s="42">
        <v>56.96</v>
      </c>
      <c r="AE201" s="42">
        <v>61.79</v>
      </c>
      <c r="AF201" s="42">
        <v>93.06</v>
      </c>
    </row>
    <row r="202" spans="1:32">
      <c r="A202" s="22" t="s">
        <v>195</v>
      </c>
      <c r="B202" s="16" t="s">
        <v>436</v>
      </c>
      <c r="C202" s="126" t="s">
        <v>408</v>
      </c>
      <c r="D202" s="18">
        <v>78.75</v>
      </c>
      <c r="E202" s="17">
        <v>23.821874999999999</v>
      </c>
      <c r="F202" s="18">
        <v>171.81</v>
      </c>
      <c r="G202" s="17">
        <v>51.972524999999997</v>
      </c>
      <c r="H202" s="45">
        <v>31.27</v>
      </c>
      <c r="I202" s="45">
        <v>9.4591750000000001</v>
      </c>
      <c r="J202" s="45">
        <v>61.79</v>
      </c>
      <c r="K202" s="45">
        <v>18.691475000000001</v>
      </c>
      <c r="L202" s="45">
        <v>93.06</v>
      </c>
      <c r="M202" s="45">
        <v>28.150649999999999</v>
      </c>
      <c r="N202" s="18">
        <v>26.04</v>
      </c>
      <c r="O202" s="17">
        <v>7.8770999999999995</v>
      </c>
      <c r="P202" s="19"/>
      <c r="Q202" s="19"/>
      <c r="R202" s="19"/>
      <c r="S202" s="19">
        <v>21282398.728943802</v>
      </c>
      <c r="T202" s="19">
        <v>497745000</v>
      </c>
      <c r="U202" s="19">
        <v>608355000</v>
      </c>
      <c r="V202" s="19">
        <v>1106100000</v>
      </c>
      <c r="W202" s="38">
        <v>60835500</v>
      </c>
      <c r="X202" s="40">
        <v>1166935500</v>
      </c>
      <c r="Y202" s="39">
        <v>116693550</v>
      </c>
      <c r="Z202" s="25"/>
      <c r="AA202" s="13" t="s">
        <v>362</v>
      </c>
      <c r="AB202" s="42">
        <v>31.27</v>
      </c>
      <c r="AC202" s="42">
        <v>4.83</v>
      </c>
      <c r="AD202" s="42">
        <v>56.96</v>
      </c>
      <c r="AE202" s="42">
        <v>61.79</v>
      </c>
      <c r="AF202" s="42">
        <v>93.06</v>
      </c>
    </row>
    <row r="203" spans="1:32">
      <c r="A203" s="22" t="s">
        <v>196</v>
      </c>
      <c r="B203" s="16" t="s">
        <v>436</v>
      </c>
      <c r="C203" s="126" t="s">
        <v>408</v>
      </c>
      <c r="D203" s="18">
        <v>78.75</v>
      </c>
      <c r="E203" s="17">
        <v>23.821874999999999</v>
      </c>
      <c r="F203" s="18">
        <v>171.81</v>
      </c>
      <c r="G203" s="17">
        <v>51.972524999999997</v>
      </c>
      <c r="H203" s="45">
        <v>31.27</v>
      </c>
      <c r="I203" s="45">
        <v>9.4591750000000001</v>
      </c>
      <c r="J203" s="45">
        <v>61.79</v>
      </c>
      <c r="K203" s="45">
        <v>18.691475000000001</v>
      </c>
      <c r="L203" s="45">
        <v>93.06</v>
      </c>
      <c r="M203" s="45">
        <v>28.150649999999999</v>
      </c>
      <c r="N203" s="18">
        <v>26.04</v>
      </c>
      <c r="O203" s="17">
        <v>7.8770999999999995</v>
      </c>
      <c r="P203" s="19"/>
      <c r="Q203" s="19"/>
      <c r="R203" s="19"/>
      <c r="S203" s="19">
        <v>21282398.728943802</v>
      </c>
      <c r="T203" s="19">
        <v>497745000</v>
      </c>
      <c r="U203" s="19">
        <v>608355000</v>
      </c>
      <c r="V203" s="19">
        <v>1106100000</v>
      </c>
      <c r="W203" s="38">
        <v>60835500</v>
      </c>
      <c r="X203" s="40">
        <v>1166935500</v>
      </c>
      <c r="Y203" s="39">
        <v>116693550</v>
      </c>
      <c r="Z203" s="25"/>
      <c r="AA203" s="13" t="s">
        <v>362</v>
      </c>
      <c r="AB203" s="42">
        <v>31.27</v>
      </c>
      <c r="AC203" s="42">
        <v>4.83</v>
      </c>
      <c r="AD203" s="42">
        <v>56.96</v>
      </c>
      <c r="AE203" s="42">
        <v>61.79</v>
      </c>
      <c r="AF203" s="42">
        <v>93.06</v>
      </c>
    </row>
    <row r="204" spans="1:32">
      <c r="A204" s="22" t="s">
        <v>197</v>
      </c>
      <c r="B204" s="16" t="s">
        <v>436</v>
      </c>
      <c r="C204" s="126" t="s">
        <v>408</v>
      </c>
      <c r="D204" s="18">
        <v>81.62</v>
      </c>
      <c r="E204" s="17">
        <v>24.690049999999999</v>
      </c>
      <c r="F204" s="18">
        <v>178.07999999999998</v>
      </c>
      <c r="G204" s="17">
        <v>53.869199999999992</v>
      </c>
      <c r="H204" s="45">
        <v>32.409999999999997</v>
      </c>
      <c r="I204" s="45">
        <v>9.8040249999999993</v>
      </c>
      <c r="J204" s="45">
        <v>64.05</v>
      </c>
      <c r="K204" s="45">
        <v>19.375124999999997</v>
      </c>
      <c r="L204" s="45">
        <v>96.46</v>
      </c>
      <c r="M204" s="45">
        <v>29.179149999999996</v>
      </c>
      <c r="N204" s="18">
        <v>26.99</v>
      </c>
      <c r="O204" s="17">
        <v>8.1644749999999995</v>
      </c>
      <c r="P204" s="19"/>
      <c r="Q204" s="19"/>
      <c r="R204" s="19"/>
      <c r="S204" s="19">
        <v>21275608.325351037</v>
      </c>
      <c r="T204" s="19">
        <v>515745000</v>
      </c>
      <c r="U204" s="19">
        <v>630355000</v>
      </c>
      <c r="V204" s="19">
        <v>1146100000</v>
      </c>
      <c r="W204" s="38">
        <v>63035500</v>
      </c>
      <c r="X204" s="40">
        <v>1209135500</v>
      </c>
      <c r="Y204" s="39">
        <v>120913550</v>
      </c>
      <c r="Z204" s="25"/>
      <c r="AA204" s="13" t="s">
        <v>362</v>
      </c>
      <c r="AB204" s="42">
        <v>32.409999999999997</v>
      </c>
      <c r="AC204" s="42">
        <v>5.01</v>
      </c>
      <c r="AD204" s="42">
        <v>59.04</v>
      </c>
      <c r="AE204" s="42">
        <v>64.05</v>
      </c>
      <c r="AF204" s="42">
        <v>96.46</v>
      </c>
    </row>
    <row r="205" spans="1:32">
      <c r="A205" s="22" t="s">
        <v>198</v>
      </c>
      <c r="B205" s="16" t="s">
        <v>436</v>
      </c>
      <c r="C205" s="126" t="s">
        <v>408</v>
      </c>
      <c r="D205" s="18">
        <v>84.49</v>
      </c>
      <c r="E205" s="17">
        <v>25.558224999999997</v>
      </c>
      <c r="F205" s="18">
        <v>184.32999999999998</v>
      </c>
      <c r="G205" s="17">
        <v>55.759824999999992</v>
      </c>
      <c r="H205" s="45">
        <v>33.549999999999997</v>
      </c>
      <c r="I205" s="45">
        <v>10.148874999999999</v>
      </c>
      <c r="J205" s="45">
        <v>66.289999999999992</v>
      </c>
      <c r="K205" s="45">
        <v>20.052724999999995</v>
      </c>
      <c r="L205" s="45">
        <v>99.84</v>
      </c>
      <c r="M205" s="45">
        <v>30.201599999999999</v>
      </c>
      <c r="N205" s="18">
        <v>27.94</v>
      </c>
      <c r="O205" s="17">
        <v>8.4518500000000003</v>
      </c>
      <c r="P205" s="19"/>
      <c r="Q205" s="19"/>
      <c r="R205" s="19"/>
      <c r="S205" s="19">
        <v>22480343.150287867</v>
      </c>
      <c r="T205" s="19">
        <v>564075000</v>
      </c>
      <c r="U205" s="19">
        <v>689425000</v>
      </c>
      <c r="V205" s="19">
        <v>1253500000</v>
      </c>
      <c r="W205" s="38">
        <v>68942500</v>
      </c>
      <c r="X205" s="40">
        <v>1322442500</v>
      </c>
      <c r="Y205" s="39">
        <v>132244250</v>
      </c>
      <c r="Z205" s="25"/>
      <c r="AA205" s="13" t="s">
        <v>362</v>
      </c>
      <c r="AB205" s="42">
        <v>33.549999999999997</v>
      </c>
      <c r="AC205" s="42">
        <v>5.18</v>
      </c>
      <c r="AD205" s="42">
        <v>61.11</v>
      </c>
      <c r="AE205" s="42">
        <v>66.289999999999992</v>
      </c>
      <c r="AF205" s="42">
        <v>99.84</v>
      </c>
    </row>
    <row r="206" spans="1:32">
      <c r="A206" s="22" t="s">
        <v>199</v>
      </c>
      <c r="B206" s="16" t="s">
        <v>436</v>
      </c>
      <c r="C206" s="126" t="s">
        <v>408</v>
      </c>
      <c r="D206" s="18">
        <v>102.58</v>
      </c>
      <c r="E206" s="17">
        <v>31.030449999999998</v>
      </c>
      <c r="F206" s="18">
        <v>223.8</v>
      </c>
      <c r="G206" s="17">
        <v>67.6995</v>
      </c>
      <c r="H206" s="45">
        <v>40.729999999999997</v>
      </c>
      <c r="I206" s="45">
        <v>12.320824999999999</v>
      </c>
      <c r="J206" s="45">
        <v>80.490000000000009</v>
      </c>
      <c r="K206" s="45">
        <v>24.348225000000003</v>
      </c>
      <c r="L206" s="45">
        <v>121.22</v>
      </c>
      <c r="M206" s="45">
        <v>36.669049999999999</v>
      </c>
      <c r="N206" s="18">
        <v>33.92</v>
      </c>
      <c r="O206" s="17">
        <v>10.2608</v>
      </c>
      <c r="P206" s="19"/>
      <c r="Q206" s="19"/>
      <c r="R206" s="19"/>
      <c r="S206" s="19">
        <v>22474316.649310555</v>
      </c>
      <c r="T206" s="19">
        <v>684675000</v>
      </c>
      <c r="U206" s="19">
        <v>836825000.00000012</v>
      </c>
      <c r="V206" s="19">
        <v>1521500000</v>
      </c>
      <c r="W206" s="38">
        <v>83682500.000000015</v>
      </c>
      <c r="X206" s="40">
        <v>1605182500</v>
      </c>
      <c r="Y206" s="39">
        <v>160518250</v>
      </c>
      <c r="Z206" s="25"/>
      <c r="AA206" s="13" t="s">
        <v>362</v>
      </c>
      <c r="AB206" s="42">
        <v>40.729999999999997</v>
      </c>
      <c r="AC206" s="42">
        <v>6.29</v>
      </c>
      <c r="AD206" s="42">
        <v>74.2</v>
      </c>
      <c r="AE206" s="42">
        <v>80.490000000000009</v>
      </c>
      <c r="AF206" s="42">
        <v>121.22</v>
      </c>
    </row>
    <row r="207" spans="1:32">
      <c r="A207" s="22" t="s">
        <v>200</v>
      </c>
      <c r="B207" s="16" t="s">
        <v>436</v>
      </c>
      <c r="C207" s="126" t="s">
        <v>408</v>
      </c>
      <c r="D207" s="18">
        <v>54.76</v>
      </c>
      <c r="E207" s="17">
        <v>16.564899999999998</v>
      </c>
      <c r="F207" s="18">
        <v>119.47</v>
      </c>
      <c r="G207" s="17">
        <v>36.139674999999997</v>
      </c>
      <c r="H207" s="45">
        <v>21.74</v>
      </c>
      <c r="I207" s="45">
        <v>6.5763499999999997</v>
      </c>
      <c r="J207" s="45">
        <v>42.97</v>
      </c>
      <c r="K207" s="45">
        <v>12.998424999999999</v>
      </c>
      <c r="L207" s="45">
        <v>64.709999999999994</v>
      </c>
      <c r="M207" s="45">
        <v>19.574774999999999</v>
      </c>
      <c r="N207" s="18">
        <v>18.11</v>
      </c>
      <c r="O207" s="17">
        <v>5.478275</v>
      </c>
      <c r="P207" s="19"/>
      <c r="Q207" s="19"/>
      <c r="R207" s="19"/>
      <c r="S207" s="19">
        <v>22473915.440578811</v>
      </c>
      <c r="T207" s="19">
        <v>365490000</v>
      </c>
      <c r="U207" s="19">
        <v>446710000.00000006</v>
      </c>
      <c r="V207" s="19">
        <v>812200000</v>
      </c>
      <c r="W207" s="38">
        <v>44671000.000000007</v>
      </c>
      <c r="X207" s="40">
        <v>856871000</v>
      </c>
      <c r="Y207" s="39">
        <v>85687100</v>
      </c>
      <c r="Z207" s="25"/>
      <c r="AA207" s="13" t="s">
        <v>407</v>
      </c>
      <c r="AB207" s="42">
        <v>21.74</v>
      </c>
      <c r="AC207" s="42">
        <v>3.36</v>
      </c>
      <c r="AD207" s="42">
        <v>39.61</v>
      </c>
      <c r="AE207" s="42">
        <v>42.97</v>
      </c>
      <c r="AF207" s="42">
        <v>64.709999999999994</v>
      </c>
    </row>
    <row r="208" spans="1:32">
      <c r="A208" s="22" t="s">
        <v>201</v>
      </c>
      <c r="B208" s="16" t="s">
        <v>436</v>
      </c>
      <c r="C208" s="126" t="s">
        <v>408</v>
      </c>
      <c r="D208" s="18">
        <v>53.02</v>
      </c>
      <c r="E208" s="17">
        <v>16.038550000000001</v>
      </c>
      <c r="F208" s="18">
        <v>115.67000000000002</v>
      </c>
      <c r="G208" s="17">
        <v>34.990175000000001</v>
      </c>
      <c r="H208" s="45">
        <v>21.05</v>
      </c>
      <c r="I208" s="45">
        <v>6.3676250000000003</v>
      </c>
      <c r="J208" s="45">
        <v>41.6</v>
      </c>
      <c r="K208" s="45">
        <v>12.584</v>
      </c>
      <c r="L208" s="45">
        <v>62.650000000000006</v>
      </c>
      <c r="M208" s="45">
        <v>18.951625</v>
      </c>
      <c r="N208" s="18">
        <v>17.53</v>
      </c>
      <c r="O208" s="17">
        <v>5.3028250000000003</v>
      </c>
      <c r="P208" s="19"/>
      <c r="Q208" s="19"/>
      <c r="R208" s="19"/>
      <c r="S208" s="19">
        <v>20319989.825715359</v>
      </c>
      <c r="T208" s="19">
        <v>319950000</v>
      </c>
      <c r="U208" s="19">
        <v>391050000.00000006</v>
      </c>
      <c r="V208" s="19">
        <v>711000000</v>
      </c>
      <c r="W208" s="38">
        <v>39105000.000000007</v>
      </c>
      <c r="X208" s="40">
        <v>750105000</v>
      </c>
      <c r="Y208" s="39">
        <v>75010500</v>
      </c>
      <c r="Z208" s="25"/>
      <c r="AA208" s="13" t="s">
        <v>362</v>
      </c>
      <c r="AB208" s="42">
        <v>21.05</v>
      </c>
      <c r="AC208" s="42">
        <v>3.25</v>
      </c>
      <c r="AD208" s="42">
        <v>38.35</v>
      </c>
      <c r="AE208" s="42">
        <v>41.6</v>
      </c>
      <c r="AF208" s="42">
        <v>62.650000000000006</v>
      </c>
    </row>
    <row r="209" spans="1:32">
      <c r="A209" s="22" t="s">
        <v>202</v>
      </c>
      <c r="B209" s="16" t="s">
        <v>436</v>
      </c>
      <c r="C209" s="126" t="s">
        <v>408</v>
      </c>
      <c r="D209" s="18">
        <v>76.7</v>
      </c>
      <c r="E209" s="17">
        <v>23.201750000000001</v>
      </c>
      <c r="F209" s="18">
        <v>167.33999999999997</v>
      </c>
      <c r="G209" s="17">
        <v>50.620349999999988</v>
      </c>
      <c r="H209" s="45">
        <v>30.45</v>
      </c>
      <c r="I209" s="45">
        <v>9.2111249999999991</v>
      </c>
      <c r="J209" s="45">
        <v>60.19</v>
      </c>
      <c r="K209" s="45">
        <v>18.207474999999999</v>
      </c>
      <c r="L209" s="45">
        <v>90.639999999999986</v>
      </c>
      <c r="M209" s="45">
        <v>27.418599999999994</v>
      </c>
      <c r="N209" s="18">
        <v>25.36</v>
      </c>
      <c r="O209" s="17">
        <v>7.6713999999999993</v>
      </c>
      <c r="P209" s="19"/>
      <c r="Q209" s="19"/>
      <c r="R209" s="19"/>
      <c r="S209" s="19">
        <v>20311989.150608405</v>
      </c>
      <c r="T209" s="19">
        <v>462690000</v>
      </c>
      <c r="U209" s="19">
        <v>565510000</v>
      </c>
      <c r="V209" s="19">
        <v>1028200000</v>
      </c>
      <c r="W209" s="38">
        <v>56551000</v>
      </c>
      <c r="X209" s="40">
        <v>1084751000</v>
      </c>
      <c r="Y209" s="39">
        <v>108475100</v>
      </c>
      <c r="Z209" s="25"/>
      <c r="AA209" s="13" t="s">
        <v>362</v>
      </c>
      <c r="AB209" s="42">
        <v>30.45</v>
      </c>
      <c r="AC209" s="42">
        <v>4.71</v>
      </c>
      <c r="AD209" s="42">
        <v>55.48</v>
      </c>
      <c r="AE209" s="42">
        <v>60.19</v>
      </c>
      <c r="AF209" s="42">
        <v>90.639999999999986</v>
      </c>
    </row>
    <row r="210" spans="1:32">
      <c r="A210" s="22" t="s">
        <v>203</v>
      </c>
      <c r="B210" s="16" t="s">
        <v>436</v>
      </c>
      <c r="C210" s="126" t="s">
        <v>408</v>
      </c>
      <c r="D210" s="18">
        <v>66.97</v>
      </c>
      <c r="E210" s="17">
        <v>20.258424999999999</v>
      </c>
      <c r="F210" s="18">
        <v>146.11000000000001</v>
      </c>
      <c r="G210" s="17">
        <v>44.198275000000002</v>
      </c>
      <c r="H210" s="45">
        <v>26.59</v>
      </c>
      <c r="I210" s="45">
        <v>8.043474999999999</v>
      </c>
      <c r="J210" s="45">
        <v>52.55</v>
      </c>
      <c r="K210" s="45">
        <v>15.896374999999999</v>
      </c>
      <c r="L210" s="45">
        <v>79.14</v>
      </c>
      <c r="M210" s="45">
        <v>23.93985</v>
      </c>
      <c r="N210" s="18">
        <v>22.15</v>
      </c>
      <c r="O210" s="17">
        <v>6.7003749999999993</v>
      </c>
      <c r="P210" s="19"/>
      <c r="Q210" s="19"/>
      <c r="R210" s="19"/>
      <c r="S210" s="19">
        <v>20317535.016920909</v>
      </c>
      <c r="T210" s="19">
        <v>404100000</v>
      </c>
      <c r="U210" s="19">
        <v>493900000.00000006</v>
      </c>
      <c r="V210" s="19">
        <v>898000000</v>
      </c>
      <c r="W210" s="38">
        <v>49390000.000000007</v>
      </c>
      <c r="X210" s="40">
        <v>947390000</v>
      </c>
      <c r="Y210" s="39">
        <v>94739000</v>
      </c>
      <c r="Z210" s="25"/>
      <c r="AA210" s="13" t="s">
        <v>362</v>
      </c>
      <c r="AB210" s="42">
        <v>26.59</v>
      </c>
      <c r="AC210" s="42">
        <v>4.1100000000000003</v>
      </c>
      <c r="AD210" s="42">
        <v>48.44</v>
      </c>
      <c r="AE210" s="42">
        <v>52.55</v>
      </c>
      <c r="AF210" s="42">
        <v>79.14</v>
      </c>
    </row>
    <row r="211" spans="1:32" s="105" customFormat="1">
      <c r="A211" s="93"/>
      <c r="B211" s="94"/>
      <c r="C211" s="127" t="s">
        <v>476</v>
      </c>
      <c r="D211" s="95">
        <v>584.05999999999995</v>
      </c>
      <c r="E211" s="85">
        <v>176.67814999999999</v>
      </c>
      <c r="F211" s="95">
        <v>1274.2399999999998</v>
      </c>
      <c r="G211" s="96">
        <v>385.4575999999999</v>
      </c>
      <c r="H211" s="97">
        <v>231.89</v>
      </c>
      <c r="I211" s="97">
        <v>70.146724999999989</v>
      </c>
      <c r="J211" s="97">
        <v>458.28999999999996</v>
      </c>
      <c r="K211" s="97">
        <v>138.63272499999999</v>
      </c>
      <c r="L211" s="97">
        <v>690.18</v>
      </c>
      <c r="M211" s="97">
        <v>208.77944999999997</v>
      </c>
      <c r="N211" s="95">
        <v>193.14</v>
      </c>
      <c r="O211" s="96">
        <v>58.424849999999992</v>
      </c>
      <c r="P211" s="98"/>
      <c r="Q211" s="98"/>
      <c r="R211" s="98"/>
      <c r="S211" s="98">
        <v>9400000</v>
      </c>
      <c r="T211" s="98">
        <v>1630485450</v>
      </c>
      <c r="U211" s="98">
        <v>1992815550.0000002</v>
      </c>
      <c r="V211" s="98">
        <v>3623301000</v>
      </c>
      <c r="W211" s="99">
        <v>199281555.00000003</v>
      </c>
      <c r="X211" s="100">
        <v>3822582555</v>
      </c>
      <c r="Y211" s="101">
        <v>382258255.5</v>
      </c>
      <c r="Z211" s="102"/>
      <c r="AA211" s="103" t="s">
        <v>362</v>
      </c>
      <c r="AB211" s="104">
        <v>231.89</v>
      </c>
      <c r="AC211" s="104">
        <v>35.83</v>
      </c>
      <c r="AD211" s="104">
        <v>422.46</v>
      </c>
      <c r="AE211" s="104">
        <v>458.28999999999996</v>
      </c>
      <c r="AF211" s="104">
        <v>690.18</v>
      </c>
    </row>
    <row r="212" spans="1:32" s="105" customFormat="1">
      <c r="A212" s="93"/>
      <c r="B212" s="94"/>
      <c r="C212" s="127" t="s">
        <v>476</v>
      </c>
      <c r="D212" s="95">
        <v>48.51</v>
      </c>
      <c r="E212" s="85">
        <v>14.674275</v>
      </c>
      <c r="F212" s="95">
        <v>105.84</v>
      </c>
      <c r="G212" s="96">
        <v>32.016599999999997</v>
      </c>
      <c r="H212" s="97">
        <v>19.260000000000002</v>
      </c>
      <c r="I212" s="97">
        <v>5.8261500000000002</v>
      </c>
      <c r="J212" s="97">
        <v>38.07</v>
      </c>
      <c r="K212" s="97">
        <v>11.516175</v>
      </c>
      <c r="L212" s="97">
        <v>57.330000000000005</v>
      </c>
      <c r="M212" s="97">
        <v>17.342325000000002</v>
      </c>
      <c r="N212" s="95">
        <v>16.04</v>
      </c>
      <c r="O212" s="96">
        <v>4.8520999999999992</v>
      </c>
      <c r="P212" s="98"/>
      <c r="Q212" s="98"/>
      <c r="R212" s="98"/>
      <c r="S212" s="98">
        <v>9400000</v>
      </c>
      <c r="T212" s="98">
        <v>135430200</v>
      </c>
      <c r="U212" s="98">
        <v>165525800</v>
      </c>
      <c r="V212" s="98">
        <v>300956000</v>
      </c>
      <c r="W212" s="99">
        <v>16552580</v>
      </c>
      <c r="X212" s="100">
        <v>317508580</v>
      </c>
      <c r="Y212" s="101">
        <v>31750858</v>
      </c>
      <c r="Z212" s="102"/>
      <c r="AA212" s="103" t="s">
        <v>362</v>
      </c>
      <c r="AB212" s="104">
        <v>19.260000000000002</v>
      </c>
      <c r="AC212" s="104">
        <v>2.98</v>
      </c>
      <c r="AD212" s="104">
        <v>35.090000000000003</v>
      </c>
      <c r="AE212" s="104">
        <v>38.07</v>
      </c>
      <c r="AF212" s="104">
        <v>57.330000000000005</v>
      </c>
    </row>
    <row r="213" spans="1:32" s="92" customFormat="1">
      <c r="A213" s="83"/>
      <c r="B213" s="84"/>
      <c r="C213" s="127" t="s">
        <v>476</v>
      </c>
      <c r="D213" s="73">
        <v>237.38</v>
      </c>
      <c r="E213" s="85">
        <v>71.807450000000003</v>
      </c>
      <c r="F213" s="73">
        <v>550.62</v>
      </c>
      <c r="G213" s="85">
        <v>166.56254999999999</v>
      </c>
      <c r="H213" s="74">
        <v>126.98</v>
      </c>
      <c r="I213" s="74">
        <v>38.411450000000002</v>
      </c>
      <c r="J213" s="74">
        <v>186.26</v>
      </c>
      <c r="K213" s="74">
        <v>56.343649999999997</v>
      </c>
      <c r="L213" s="74">
        <v>313.24</v>
      </c>
      <c r="M213" s="74">
        <v>94.755099999999999</v>
      </c>
      <c r="N213" s="73">
        <v>78.5</v>
      </c>
      <c r="O213" s="85">
        <v>23.74625</v>
      </c>
      <c r="P213" s="86"/>
      <c r="Q213" s="86"/>
      <c r="R213" s="86"/>
      <c r="S213" s="86">
        <v>9400000</v>
      </c>
      <c r="T213" s="86">
        <v>704559150</v>
      </c>
      <c r="U213" s="86">
        <v>861127850.00000012</v>
      </c>
      <c r="V213" s="86">
        <v>1565687000</v>
      </c>
      <c r="W213" s="87">
        <v>86112785.000000015</v>
      </c>
      <c r="X213" s="88">
        <v>1651799785</v>
      </c>
      <c r="Y213" s="89">
        <v>165179978.5</v>
      </c>
      <c r="Z213" s="37"/>
      <c r="AA213" s="90"/>
      <c r="AB213" s="91">
        <v>126.98</v>
      </c>
      <c r="AC213" s="91">
        <v>14.56</v>
      </c>
      <c r="AD213" s="91">
        <v>171.7</v>
      </c>
      <c r="AE213" s="91">
        <v>186.26</v>
      </c>
      <c r="AF213" s="91">
        <v>313.24</v>
      </c>
    </row>
    <row r="214" spans="1:32" s="105" customFormat="1">
      <c r="A214" s="93"/>
      <c r="B214" s="94"/>
      <c r="C214" s="127" t="s">
        <v>476</v>
      </c>
      <c r="D214" s="95">
        <v>84.49</v>
      </c>
      <c r="E214" s="85">
        <v>25.558224999999997</v>
      </c>
      <c r="F214" s="95">
        <v>184.32999999999998</v>
      </c>
      <c r="G214" s="96">
        <v>55.759824999999992</v>
      </c>
      <c r="H214" s="97">
        <v>33.549999999999997</v>
      </c>
      <c r="I214" s="97">
        <v>10.148874999999999</v>
      </c>
      <c r="J214" s="97">
        <v>66.289999999999992</v>
      </c>
      <c r="K214" s="97">
        <v>20.052724999999995</v>
      </c>
      <c r="L214" s="97">
        <v>99.84</v>
      </c>
      <c r="M214" s="97">
        <v>30.201599999999999</v>
      </c>
      <c r="N214" s="95">
        <v>27.94</v>
      </c>
      <c r="O214" s="96">
        <v>8.4518500000000003</v>
      </c>
      <c r="P214" s="98"/>
      <c r="Q214" s="98"/>
      <c r="R214" s="98"/>
      <c r="S214" s="98">
        <v>9400000</v>
      </c>
      <c r="T214" s="98">
        <v>235863900</v>
      </c>
      <c r="U214" s="98">
        <v>288278100</v>
      </c>
      <c r="V214" s="98">
        <v>524142000</v>
      </c>
      <c r="W214" s="99">
        <v>28827810</v>
      </c>
      <c r="X214" s="100">
        <v>552969810</v>
      </c>
      <c r="Y214" s="101">
        <v>55296981</v>
      </c>
      <c r="Z214" s="102"/>
      <c r="AA214" s="103" t="s">
        <v>362</v>
      </c>
      <c r="AB214" s="104">
        <v>33.549999999999997</v>
      </c>
      <c r="AC214" s="104">
        <v>5.18</v>
      </c>
      <c r="AD214" s="104">
        <v>61.11</v>
      </c>
      <c r="AE214" s="104">
        <v>66.289999999999992</v>
      </c>
      <c r="AF214" s="104">
        <v>99.84</v>
      </c>
    </row>
    <row r="215" spans="1:32" s="105" customFormat="1">
      <c r="A215" s="93"/>
      <c r="B215" s="94"/>
      <c r="C215" s="127" t="s">
        <v>476</v>
      </c>
      <c r="D215" s="95">
        <v>159.79</v>
      </c>
      <c r="E215" s="85">
        <v>48.336474999999993</v>
      </c>
      <c r="F215" s="95">
        <v>348.61</v>
      </c>
      <c r="G215" s="96">
        <v>105.454525</v>
      </c>
      <c r="H215" s="97">
        <v>63.44</v>
      </c>
      <c r="I215" s="97">
        <v>19.1906</v>
      </c>
      <c r="J215" s="97">
        <v>125.38</v>
      </c>
      <c r="K215" s="97">
        <v>37.92745</v>
      </c>
      <c r="L215" s="97">
        <v>188.82</v>
      </c>
      <c r="M215" s="97">
        <v>57.118049999999997</v>
      </c>
      <c r="N215" s="95">
        <v>52.84</v>
      </c>
      <c r="O215" s="96">
        <v>15.9841</v>
      </c>
      <c r="P215" s="98"/>
      <c r="Q215" s="98"/>
      <c r="R215" s="98"/>
      <c r="S215" s="98">
        <v>9400000</v>
      </c>
      <c r="T215" s="98">
        <v>446072400</v>
      </c>
      <c r="U215" s="98">
        <v>545199600</v>
      </c>
      <c r="V215" s="98">
        <v>991272000</v>
      </c>
      <c r="W215" s="99">
        <v>54519960</v>
      </c>
      <c r="X215" s="100">
        <v>1045791960</v>
      </c>
      <c r="Y215" s="101">
        <v>104579196</v>
      </c>
      <c r="Z215" s="102"/>
      <c r="AA215" s="103" t="s">
        <v>362</v>
      </c>
      <c r="AB215" s="104">
        <v>63.44</v>
      </c>
      <c r="AC215" s="104">
        <v>9.8000000000000007</v>
      </c>
      <c r="AD215" s="104">
        <v>115.58</v>
      </c>
      <c r="AE215" s="104">
        <v>125.38</v>
      </c>
      <c r="AF215" s="104">
        <v>188.82</v>
      </c>
    </row>
    <row r="216" spans="1:32" s="105" customFormat="1">
      <c r="A216" s="93"/>
      <c r="B216" s="94"/>
      <c r="C216" s="127" t="s">
        <v>476</v>
      </c>
      <c r="D216" s="95">
        <v>166.78</v>
      </c>
      <c r="E216" s="85">
        <v>50.450949999999999</v>
      </c>
      <c r="F216" s="95">
        <v>363.86</v>
      </c>
      <c r="G216" s="96">
        <v>110.06765</v>
      </c>
      <c r="H216" s="97">
        <v>66.22</v>
      </c>
      <c r="I216" s="97">
        <v>20.031549999999999</v>
      </c>
      <c r="J216" s="97">
        <v>130.85999999999999</v>
      </c>
      <c r="K216" s="97">
        <v>39.585149999999992</v>
      </c>
      <c r="L216" s="97">
        <v>197.07999999999998</v>
      </c>
      <c r="M216" s="97">
        <v>59.616699999999994</v>
      </c>
      <c r="N216" s="95">
        <v>55.15</v>
      </c>
      <c r="O216" s="96">
        <v>16.682874999999999</v>
      </c>
      <c r="P216" s="98"/>
      <c r="Q216" s="98"/>
      <c r="R216" s="98"/>
      <c r="S216" s="98">
        <v>9400000</v>
      </c>
      <c r="T216" s="98">
        <v>465585750</v>
      </c>
      <c r="U216" s="98">
        <v>569049250</v>
      </c>
      <c r="V216" s="98">
        <v>1034635000</v>
      </c>
      <c r="W216" s="99">
        <v>56904925</v>
      </c>
      <c r="X216" s="100">
        <v>1091539925</v>
      </c>
      <c r="Y216" s="101">
        <v>109153992.5</v>
      </c>
      <c r="Z216" s="102"/>
      <c r="AA216" s="103" t="s">
        <v>362</v>
      </c>
      <c r="AB216" s="104">
        <v>66.22</v>
      </c>
      <c r="AC216" s="104">
        <v>10.23</v>
      </c>
      <c r="AD216" s="104">
        <v>120.63</v>
      </c>
      <c r="AE216" s="104">
        <v>130.85999999999999</v>
      </c>
      <c r="AF216" s="104">
        <v>197.07999999999998</v>
      </c>
    </row>
    <row r="217" spans="1:32">
      <c r="A217" s="404" t="s">
        <v>427</v>
      </c>
      <c r="B217" s="405"/>
      <c r="C217" s="125">
        <v>21</v>
      </c>
      <c r="D217" s="27">
        <v>1690.92</v>
      </c>
      <c r="E217" s="27">
        <v>511.50329999999991</v>
      </c>
      <c r="F217" s="27">
        <v>3689.09</v>
      </c>
      <c r="G217" s="27">
        <v>1115.9497249999999</v>
      </c>
      <c r="H217" s="27">
        <v>671.39</v>
      </c>
      <c r="I217" s="27">
        <v>203.09547500000002</v>
      </c>
      <c r="J217" s="27">
        <v>1326.78</v>
      </c>
      <c r="K217" s="27">
        <v>401.35095000000001</v>
      </c>
      <c r="L217" s="27">
        <v>1998.1699999999998</v>
      </c>
      <c r="M217" s="27">
        <v>604.44642499999986</v>
      </c>
      <c r="N217" s="27">
        <v>559.15</v>
      </c>
      <c r="O217" s="27">
        <v>169.14287499999998</v>
      </c>
      <c r="P217" s="28">
        <v>0</v>
      </c>
      <c r="Q217" s="28">
        <v>0</v>
      </c>
      <c r="R217" s="28">
        <v>0</v>
      </c>
      <c r="S217" s="28">
        <v>22000991.128879037</v>
      </c>
      <c r="T217" s="28">
        <v>11048400000</v>
      </c>
      <c r="U217" s="28">
        <v>13503600000</v>
      </c>
      <c r="V217" s="28">
        <v>24552000000</v>
      </c>
      <c r="W217" s="28">
        <v>1806920115</v>
      </c>
      <c r="X217" s="28">
        <v>34660013115</v>
      </c>
      <c r="Y217" s="43"/>
      <c r="Z217" s="25"/>
      <c r="AB217" s="42"/>
      <c r="AC217" s="42"/>
      <c r="AD217" s="42"/>
      <c r="AE217" s="42"/>
      <c r="AF217" s="42"/>
    </row>
    <row r="218" spans="1:32">
      <c r="A218" s="22" t="s">
        <v>204</v>
      </c>
      <c r="B218" s="16" t="s">
        <v>436</v>
      </c>
      <c r="C218" s="126" t="s">
        <v>408</v>
      </c>
      <c r="D218" s="18">
        <v>54.76</v>
      </c>
      <c r="E218" s="17">
        <v>16.564899999999998</v>
      </c>
      <c r="F218" s="18">
        <v>119.47</v>
      </c>
      <c r="G218" s="17">
        <v>36.139674999999997</v>
      </c>
      <c r="H218" s="45">
        <v>21.74</v>
      </c>
      <c r="I218" s="45">
        <v>6.5763499999999997</v>
      </c>
      <c r="J218" s="45">
        <v>42.97</v>
      </c>
      <c r="K218" s="45">
        <v>12.998424999999999</v>
      </c>
      <c r="L218" s="45">
        <v>64.709999999999994</v>
      </c>
      <c r="M218" s="45">
        <v>19.574774999999999</v>
      </c>
      <c r="N218" s="18">
        <v>18.11</v>
      </c>
      <c r="O218" s="17">
        <v>5.478275</v>
      </c>
      <c r="P218" s="19"/>
      <c r="Q218" s="19"/>
      <c r="R218" s="19"/>
      <c r="S218" s="19">
        <v>22473915.440578811</v>
      </c>
      <c r="T218" s="19">
        <v>365490000</v>
      </c>
      <c r="U218" s="19">
        <v>446710000.00000006</v>
      </c>
      <c r="V218" s="19">
        <v>812200000</v>
      </c>
      <c r="W218" s="38">
        <v>44671000.000000007</v>
      </c>
      <c r="X218" s="40">
        <v>856871000</v>
      </c>
      <c r="Y218" s="39">
        <v>85687100</v>
      </c>
      <c r="Z218" s="25"/>
      <c r="AA218" s="13" t="s">
        <v>407</v>
      </c>
      <c r="AB218" s="42">
        <v>21.74</v>
      </c>
      <c r="AC218" s="42">
        <v>3.36</v>
      </c>
      <c r="AD218" s="42">
        <v>39.61</v>
      </c>
      <c r="AE218" s="42">
        <v>42.97</v>
      </c>
      <c r="AF218" s="42">
        <v>64.709999999999994</v>
      </c>
    </row>
    <row r="219" spans="1:32">
      <c r="A219" s="22" t="s">
        <v>205</v>
      </c>
      <c r="B219" s="16" t="s">
        <v>436</v>
      </c>
      <c r="C219" s="126" t="s">
        <v>408</v>
      </c>
      <c r="D219" s="18">
        <v>50.55</v>
      </c>
      <c r="E219" s="17">
        <v>15.291374999999999</v>
      </c>
      <c r="F219" s="18">
        <v>110.28</v>
      </c>
      <c r="G219" s="17">
        <v>33.359699999999997</v>
      </c>
      <c r="H219" s="45">
        <v>20.07</v>
      </c>
      <c r="I219" s="45">
        <v>6.0711750000000002</v>
      </c>
      <c r="J219" s="45">
        <v>39.660000000000004</v>
      </c>
      <c r="K219" s="45">
        <v>11.997150000000001</v>
      </c>
      <c r="L219" s="45">
        <v>59.730000000000004</v>
      </c>
      <c r="M219" s="45">
        <v>18.068325000000002</v>
      </c>
      <c r="N219" s="18">
        <v>16.72</v>
      </c>
      <c r="O219" s="17">
        <v>5.0577999999999994</v>
      </c>
      <c r="P219" s="19"/>
      <c r="Q219" s="19"/>
      <c r="R219" s="19"/>
      <c r="S219" s="19">
        <v>22473223.680069067</v>
      </c>
      <c r="T219" s="19">
        <v>337365000</v>
      </c>
      <c r="U219" s="19">
        <v>412335000.00000006</v>
      </c>
      <c r="V219" s="19">
        <v>749700000</v>
      </c>
      <c r="W219" s="38">
        <v>41233500.000000007</v>
      </c>
      <c r="X219" s="40">
        <v>790933500</v>
      </c>
      <c r="Y219" s="39">
        <v>79093350</v>
      </c>
      <c r="Z219" s="25"/>
      <c r="AA219" s="13" t="s">
        <v>362</v>
      </c>
      <c r="AB219" s="42">
        <v>20.07</v>
      </c>
      <c r="AC219" s="42">
        <v>3.1</v>
      </c>
      <c r="AD219" s="42">
        <v>36.56</v>
      </c>
      <c r="AE219" s="42">
        <v>39.660000000000004</v>
      </c>
      <c r="AF219" s="42">
        <v>59.730000000000004</v>
      </c>
    </row>
    <row r="220" spans="1:32">
      <c r="A220" s="22" t="s">
        <v>206</v>
      </c>
      <c r="B220" s="16" t="s">
        <v>436</v>
      </c>
      <c r="C220" s="126" t="s">
        <v>408</v>
      </c>
      <c r="D220" s="18">
        <v>53.02</v>
      </c>
      <c r="E220" s="17">
        <v>16.038550000000001</v>
      </c>
      <c r="F220" s="18">
        <v>115.67000000000002</v>
      </c>
      <c r="G220" s="17">
        <v>34.990175000000001</v>
      </c>
      <c r="H220" s="45">
        <v>21.05</v>
      </c>
      <c r="I220" s="45">
        <v>6.3676250000000003</v>
      </c>
      <c r="J220" s="45">
        <v>41.6</v>
      </c>
      <c r="K220" s="45">
        <v>12.584</v>
      </c>
      <c r="L220" s="45">
        <v>62.650000000000006</v>
      </c>
      <c r="M220" s="45">
        <v>18.951625</v>
      </c>
      <c r="N220" s="18">
        <v>17.53</v>
      </c>
      <c r="O220" s="17">
        <v>5.3028250000000003</v>
      </c>
      <c r="P220" s="19"/>
      <c r="Q220" s="19"/>
      <c r="R220" s="19"/>
      <c r="S220" s="19">
        <v>20319989.825715359</v>
      </c>
      <c r="T220" s="19">
        <v>319950000</v>
      </c>
      <c r="U220" s="19">
        <v>391050000.00000006</v>
      </c>
      <c r="V220" s="19">
        <v>711000000</v>
      </c>
      <c r="W220" s="38">
        <v>39105000.000000007</v>
      </c>
      <c r="X220" s="40">
        <v>750105000</v>
      </c>
      <c r="Y220" s="39">
        <v>75010500</v>
      </c>
      <c r="Z220" s="25"/>
      <c r="AA220" s="13" t="s">
        <v>362</v>
      </c>
      <c r="AB220" s="42">
        <v>21.05</v>
      </c>
      <c r="AC220" s="42">
        <v>3.25</v>
      </c>
      <c r="AD220" s="42">
        <v>38.35</v>
      </c>
      <c r="AE220" s="42">
        <v>41.6</v>
      </c>
      <c r="AF220" s="42">
        <v>62.650000000000006</v>
      </c>
    </row>
    <row r="221" spans="1:32">
      <c r="A221" s="22" t="s">
        <v>207</v>
      </c>
      <c r="B221" s="16" t="s">
        <v>436</v>
      </c>
      <c r="C221" s="126" t="s">
        <v>408</v>
      </c>
      <c r="D221" s="18">
        <v>81.66</v>
      </c>
      <c r="E221" s="17">
        <v>24.70215</v>
      </c>
      <c r="F221" s="18">
        <v>178.16</v>
      </c>
      <c r="G221" s="17">
        <v>53.8934</v>
      </c>
      <c r="H221" s="45">
        <v>32.42</v>
      </c>
      <c r="I221" s="45">
        <v>9.8070500000000003</v>
      </c>
      <c r="J221" s="45">
        <v>64.08</v>
      </c>
      <c r="K221" s="45">
        <v>19.3842</v>
      </c>
      <c r="L221" s="45">
        <v>96.5</v>
      </c>
      <c r="M221" s="45">
        <v>29.19125</v>
      </c>
      <c r="N221" s="18">
        <v>27</v>
      </c>
      <c r="O221" s="17">
        <v>8.1675000000000004</v>
      </c>
      <c r="P221" s="19"/>
      <c r="Q221" s="19"/>
      <c r="R221" s="19"/>
      <c r="S221" s="19">
        <v>22475850.475197334</v>
      </c>
      <c r="T221" s="19">
        <v>545085000</v>
      </c>
      <c r="U221" s="19">
        <v>666215000</v>
      </c>
      <c r="V221" s="19">
        <v>1211300000</v>
      </c>
      <c r="W221" s="38">
        <v>66621500</v>
      </c>
      <c r="X221" s="40">
        <v>1277921500</v>
      </c>
      <c r="Y221" s="39">
        <v>127792150</v>
      </c>
      <c r="Z221" s="25"/>
      <c r="AA221" s="13" t="s">
        <v>362</v>
      </c>
      <c r="AB221" s="42">
        <v>32.42</v>
      </c>
      <c r="AC221" s="42">
        <v>5.01</v>
      </c>
      <c r="AD221" s="42">
        <v>59.07</v>
      </c>
      <c r="AE221" s="42">
        <v>64.08</v>
      </c>
      <c r="AF221" s="42">
        <v>96.5</v>
      </c>
    </row>
    <row r="222" spans="1:32">
      <c r="A222" s="22" t="s">
        <v>208</v>
      </c>
      <c r="B222" s="16" t="s">
        <v>436</v>
      </c>
      <c r="C222" s="126" t="s">
        <v>408</v>
      </c>
      <c r="D222" s="18">
        <v>76.7</v>
      </c>
      <c r="E222" s="17">
        <v>23.201750000000001</v>
      </c>
      <c r="F222" s="18">
        <v>167.33999999999997</v>
      </c>
      <c r="G222" s="17">
        <v>50.620349999999988</v>
      </c>
      <c r="H222" s="45">
        <v>30.45</v>
      </c>
      <c r="I222" s="45">
        <v>9.2111249999999991</v>
      </c>
      <c r="J222" s="45">
        <v>60.19</v>
      </c>
      <c r="K222" s="45">
        <v>18.207474999999999</v>
      </c>
      <c r="L222" s="45">
        <v>90.639999999999986</v>
      </c>
      <c r="M222" s="45">
        <v>27.418599999999994</v>
      </c>
      <c r="N222" s="18">
        <v>25.36</v>
      </c>
      <c r="O222" s="17">
        <v>7.6713999999999993</v>
      </c>
      <c r="P222" s="19"/>
      <c r="Q222" s="19"/>
      <c r="R222" s="19"/>
      <c r="S222" s="19">
        <v>20311989.150608405</v>
      </c>
      <c r="T222" s="19">
        <v>462690000</v>
      </c>
      <c r="U222" s="19">
        <v>565510000</v>
      </c>
      <c r="V222" s="19">
        <v>1028200000</v>
      </c>
      <c r="W222" s="38">
        <v>56551000</v>
      </c>
      <c r="X222" s="40">
        <v>1084751000</v>
      </c>
      <c r="Y222" s="39">
        <v>108475100</v>
      </c>
      <c r="Z222" s="25"/>
      <c r="AA222" s="13" t="s">
        <v>362</v>
      </c>
      <c r="AB222" s="42">
        <v>30.45</v>
      </c>
      <c r="AC222" s="42">
        <v>4.71</v>
      </c>
      <c r="AD222" s="42">
        <v>55.48</v>
      </c>
      <c r="AE222" s="42">
        <v>60.19</v>
      </c>
      <c r="AF222" s="42">
        <v>90.639999999999986</v>
      </c>
    </row>
    <row r="223" spans="1:32">
      <c r="A223" s="22" t="s">
        <v>209</v>
      </c>
      <c r="B223" s="16" t="s">
        <v>436</v>
      </c>
      <c r="C223" s="126" t="s">
        <v>408</v>
      </c>
      <c r="D223" s="18">
        <v>78.75</v>
      </c>
      <c r="E223" s="17">
        <v>23.821874999999999</v>
      </c>
      <c r="F223" s="18">
        <v>171.81</v>
      </c>
      <c r="G223" s="17">
        <v>51.972524999999997</v>
      </c>
      <c r="H223" s="45">
        <v>31.27</v>
      </c>
      <c r="I223" s="45">
        <v>9.4591750000000001</v>
      </c>
      <c r="J223" s="45">
        <v>61.79</v>
      </c>
      <c r="K223" s="45">
        <v>18.691475000000001</v>
      </c>
      <c r="L223" s="45">
        <v>93.06</v>
      </c>
      <c r="M223" s="45">
        <v>28.150649999999999</v>
      </c>
      <c r="N223" s="18">
        <v>26.04</v>
      </c>
      <c r="O223" s="17">
        <v>7.8770999999999995</v>
      </c>
      <c r="P223" s="19"/>
      <c r="Q223" s="19"/>
      <c r="R223" s="19"/>
      <c r="S223" s="19">
        <v>22475336.728396401</v>
      </c>
      <c r="T223" s="19">
        <v>525645000</v>
      </c>
      <c r="U223" s="19">
        <v>642455000</v>
      </c>
      <c r="V223" s="19">
        <v>1168100000</v>
      </c>
      <c r="W223" s="38">
        <v>64245500</v>
      </c>
      <c r="X223" s="40">
        <v>1232345500</v>
      </c>
      <c r="Y223" s="39">
        <v>123234550</v>
      </c>
      <c r="Z223" s="25"/>
      <c r="AA223" s="13" t="s">
        <v>362</v>
      </c>
      <c r="AB223" s="42">
        <v>31.27</v>
      </c>
      <c r="AC223" s="42">
        <v>4.83</v>
      </c>
      <c r="AD223" s="42">
        <v>56.96</v>
      </c>
      <c r="AE223" s="42">
        <v>61.79</v>
      </c>
      <c r="AF223" s="42">
        <v>93.06</v>
      </c>
    </row>
    <row r="224" spans="1:32">
      <c r="A224" s="22" t="s">
        <v>210</v>
      </c>
      <c r="B224" s="16" t="s">
        <v>436</v>
      </c>
      <c r="C224" s="126" t="s">
        <v>408</v>
      </c>
      <c r="D224" s="18">
        <v>78.75</v>
      </c>
      <c r="E224" s="17">
        <v>23.821874999999999</v>
      </c>
      <c r="F224" s="18">
        <v>171.81</v>
      </c>
      <c r="G224" s="17">
        <v>51.972524999999997</v>
      </c>
      <c r="H224" s="45">
        <v>31.27</v>
      </c>
      <c r="I224" s="45">
        <v>9.4591750000000001</v>
      </c>
      <c r="J224" s="45">
        <v>61.79</v>
      </c>
      <c r="K224" s="45">
        <v>18.691475000000001</v>
      </c>
      <c r="L224" s="45">
        <v>93.06</v>
      </c>
      <c r="M224" s="45">
        <v>28.150649999999999</v>
      </c>
      <c r="N224" s="18">
        <v>26.04</v>
      </c>
      <c r="O224" s="17">
        <v>7.8770999999999995</v>
      </c>
      <c r="P224" s="19"/>
      <c r="Q224" s="19"/>
      <c r="R224" s="19"/>
      <c r="S224" s="19">
        <v>22475336.728396401</v>
      </c>
      <c r="T224" s="19">
        <v>525645000</v>
      </c>
      <c r="U224" s="19">
        <v>642455000</v>
      </c>
      <c r="V224" s="19">
        <v>1168100000</v>
      </c>
      <c r="W224" s="38">
        <v>64245500</v>
      </c>
      <c r="X224" s="40">
        <v>1232345500</v>
      </c>
      <c r="Y224" s="39">
        <v>123234550</v>
      </c>
      <c r="Z224" s="25"/>
      <c r="AA224" s="13" t="s">
        <v>362</v>
      </c>
      <c r="AB224" s="42">
        <v>31.27</v>
      </c>
      <c r="AC224" s="42">
        <v>4.83</v>
      </c>
      <c r="AD224" s="42">
        <v>56.96</v>
      </c>
      <c r="AE224" s="42">
        <v>61.79</v>
      </c>
      <c r="AF224" s="42">
        <v>93.06</v>
      </c>
    </row>
    <row r="225" spans="1:32">
      <c r="A225" s="22" t="s">
        <v>211</v>
      </c>
      <c r="B225" s="16" t="s">
        <v>436</v>
      </c>
      <c r="C225" s="126" t="s">
        <v>408</v>
      </c>
      <c r="D225" s="18">
        <v>78.75</v>
      </c>
      <c r="E225" s="17">
        <v>23.821874999999999</v>
      </c>
      <c r="F225" s="18">
        <v>171.81</v>
      </c>
      <c r="G225" s="17">
        <v>51.972524999999997</v>
      </c>
      <c r="H225" s="45">
        <v>31.27</v>
      </c>
      <c r="I225" s="45">
        <v>9.4591750000000001</v>
      </c>
      <c r="J225" s="45">
        <v>61.79</v>
      </c>
      <c r="K225" s="45">
        <v>18.691475000000001</v>
      </c>
      <c r="L225" s="45">
        <v>93.06</v>
      </c>
      <c r="M225" s="45">
        <v>28.150649999999999</v>
      </c>
      <c r="N225" s="18">
        <v>26.04</v>
      </c>
      <c r="O225" s="17">
        <v>7.8770999999999995</v>
      </c>
      <c r="P225" s="19"/>
      <c r="Q225" s="19"/>
      <c r="R225" s="19"/>
      <c r="S225" s="19">
        <v>22475336.728396401</v>
      </c>
      <c r="T225" s="19">
        <v>525645000</v>
      </c>
      <c r="U225" s="19">
        <v>642455000</v>
      </c>
      <c r="V225" s="19">
        <v>1168100000</v>
      </c>
      <c r="W225" s="38">
        <v>64245500</v>
      </c>
      <c r="X225" s="40">
        <v>1232345500</v>
      </c>
      <c r="Y225" s="39">
        <v>123234550</v>
      </c>
      <c r="Z225" s="25"/>
      <c r="AA225" s="13" t="s">
        <v>362</v>
      </c>
      <c r="AB225" s="42">
        <v>31.27</v>
      </c>
      <c r="AC225" s="42">
        <v>4.83</v>
      </c>
      <c r="AD225" s="42">
        <v>56.96</v>
      </c>
      <c r="AE225" s="42">
        <v>61.79</v>
      </c>
      <c r="AF225" s="42">
        <v>93.06</v>
      </c>
    </row>
    <row r="226" spans="1:32">
      <c r="A226" s="22" t="s">
        <v>212</v>
      </c>
      <c r="B226" s="16" t="s">
        <v>436</v>
      </c>
      <c r="C226" s="126" t="s">
        <v>408</v>
      </c>
      <c r="D226" s="18">
        <v>78.75</v>
      </c>
      <c r="E226" s="17">
        <v>23.821874999999999</v>
      </c>
      <c r="F226" s="18">
        <v>171.81</v>
      </c>
      <c r="G226" s="17">
        <v>51.972524999999997</v>
      </c>
      <c r="H226" s="45">
        <v>31.27</v>
      </c>
      <c r="I226" s="45">
        <v>9.4591750000000001</v>
      </c>
      <c r="J226" s="45">
        <v>61.79</v>
      </c>
      <c r="K226" s="45">
        <v>18.691475000000001</v>
      </c>
      <c r="L226" s="45">
        <v>93.06</v>
      </c>
      <c r="M226" s="45">
        <v>28.150649999999999</v>
      </c>
      <c r="N226" s="18">
        <v>26.04</v>
      </c>
      <c r="O226" s="17">
        <v>7.8770999999999995</v>
      </c>
      <c r="P226" s="19"/>
      <c r="Q226" s="19"/>
      <c r="R226" s="19"/>
      <c r="S226" s="19">
        <v>22475336.728396401</v>
      </c>
      <c r="T226" s="19">
        <v>525645000</v>
      </c>
      <c r="U226" s="19">
        <v>642455000</v>
      </c>
      <c r="V226" s="19">
        <v>1168100000</v>
      </c>
      <c r="W226" s="38">
        <v>64245500</v>
      </c>
      <c r="X226" s="40">
        <v>1232345500</v>
      </c>
      <c r="Y226" s="39">
        <v>123234550</v>
      </c>
      <c r="Z226" s="25"/>
      <c r="AA226" s="13" t="s">
        <v>362</v>
      </c>
      <c r="AB226" s="42">
        <v>31.27</v>
      </c>
      <c r="AC226" s="42">
        <v>4.83</v>
      </c>
      <c r="AD226" s="42">
        <v>56.96</v>
      </c>
      <c r="AE226" s="42">
        <v>61.79</v>
      </c>
      <c r="AF226" s="42">
        <v>93.06</v>
      </c>
    </row>
    <row r="227" spans="1:32">
      <c r="A227" s="22" t="s">
        <v>213</v>
      </c>
      <c r="B227" s="16" t="s">
        <v>436</v>
      </c>
      <c r="C227" s="126" t="s">
        <v>408</v>
      </c>
      <c r="D227" s="18">
        <v>66.97</v>
      </c>
      <c r="E227" s="17">
        <v>20.258424999999999</v>
      </c>
      <c r="F227" s="18">
        <v>146.11000000000001</v>
      </c>
      <c r="G227" s="17">
        <v>44.198275000000002</v>
      </c>
      <c r="H227" s="45">
        <v>26.59</v>
      </c>
      <c r="I227" s="45">
        <v>8.043474999999999</v>
      </c>
      <c r="J227" s="45">
        <v>52.55</v>
      </c>
      <c r="K227" s="45">
        <v>15.896374999999999</v>
      </c>
      <c r="L227" s="45">
        <v>79.14</v>
      </c>
      <c r="M227" s="45">
        <v>23.93985</v>
      </c>
      <c r="N227" s="18">
        <v>22.15</v>
      </c>
      <c r="O227" s="17">
        <v>6.7003749999999993</v>
      </c>
      <c r="P227" s="19"/>
      <c r="Q227" s="19"/>
      <c r="R227" s="19"/>
      <c r="S227" s="19">
        <v>20317535.016920909</v>
      </c>
      <c r="T227" s="19">
        <v>404100000</v>
      </c>
      <c r="U227" s="19">
        <v>493900000.00000006</v>
      </c>
      <c r="V227" s="19">
        <v>898000000</v>
      </c>
      <c r="W227" s="38">
        <v>49390000.000000007</v>
      </c>
      <c r="X227" s="40">
        <v>947390000</v>
      </c>
      <c r="Y227" s="39">
        <v>94739000</v>
      </c>
      <c r="Z227" s="25"/>
      <c r="AA227" s="13" t="s">
        <v>362</v>
      </c>
      <c r="AB227" s="42">
        <v>26.59</v>
      </c>
      <c r="AC227" s="42">
        <v>4.1100000000000003</v>
      </c>
      <c r="AD227" s="42">
        <v>48.44</v>
      </c>
      <c r="AE227" s="42">
        <v>52.55</v>
      </c>
      <c r="AF227" s="42">
        <v>79.14</v>
      </c>
    </row>
    <row r="228" spans="1:32">
      <c r="A228" s="22" t="s">
        <v>214</v>
      </c>
      <c r="B228" s="16" t="s">
        <v>436</v>
      </c>
      <c r="C228" s="126" t="s">
        <v>408</v>
      </c>
      <c r="D228" s="18">
        <v>78.75</v>
      </c>
      <c r="E228" s="17">
        <v>23.821874999999999</v>
      </c>
      <c r="F228" s="18">
        <v>171.81</v>
      </c>
      <c r="G228" s="17">
        <v>51.972524999999997</v>
      </c>
      <c r="H228" s="45">
        <v>31.27</v>
      </c>
      <c r="I228" s="45">
        <v>9.4591750000000001</v>
      </c>
      <c r="J228" s="45">
        <v>61.79</v>
      </c>
      <c r="K228" s="45">
        <v>18.691475000000001</v>
      </c>
      <c r="L228" s="45">
        <v>93.06</v>
      </c>
      <c r="M228" s="45">
        <v>28.150649999999999</v>
      </c>
      <c r="N228" s="18">
        <v>26.04</v>
      </c>
      <c r="O228" s="17">
        <v>7.8770999999999995</v>
      </c>
      <c r="P228" s="19"/>
      <c r="Q228" s="19"/>
      <c r="R228" s="19"/>
      <c r="S228" s="19">
        <v>22475336.728396401</v>
      </c>
      <c r="T228" s="19">
        <v>525645000</v>
      </c>
      <c r="U228" s="19">
        <v>642455000</v>
      </c>
      <c r="V228" s="19">
        <v>1168100000</v>
      </c>
      <c r="W228" s="38">
        <v>64245500</v>
      </c>
      <c r="X228" s="40">
        <v>1232345500</v>
      </c>
      <c r="Y228" s="39">
        <v>123234550</v>
      </c>
      <c r="Z228" s="25"/>
      <c r="AA228" s="13" t="s">
        <v>362</v>
      </c>
      <c r="AB228" s="42">
        <v>31.27</v>
      </c>
      <c r="AC228" s="42">
        <v>4.83</v>
      </c>
      <c r="AD228" s="42">
        <v>56.96</v>
      </c>
      <c r="AE228" s="42">
        <v>61.79</v>
      </c>
      <c r="AF228" s="42">
        <v>93.06</v>
      </c>
    </row>
    <row r="229" spans="1:32">
      <c r="A229" s="22" t="s">
        <v>215</v>
      </c>
      <c r="B229" s="16" t="s">
        <v>436</v>
      </c>
      <c r="C229" s="126" t="s">
        <v>408</v>
      </c>
      <c r="D229" s="18">
        <v>78.75</v>
      </c>
      <c r="E229" s="17">
        <v>23.821874999999999</v>
      </c>
      <c r="F229" s="18">
        <v>171.81</v>
      </c>
      <c r="G229" s="17">
        <v>51.972524999999997</v>
      </c>
      <c r="H229" s="45">
        <v>31.27</v>
      </c>
      <c r="I229" s="45">
        <v>9.4591750000000001</v>
      </c>
      <c r="J229" s="45">
        <v>61.79</v>
      </c>
      <c r="K229" s="45">
        <v>18.691475000000001</v>
      </c>
      <c r="L229" s="45">
        <v>93.06</v>
      </c>
      <c r="M229" s="45">
        <v>28.150649999999999</v>
      </c>
      <c r="N229" s="18">
        <v>26.04</v>
      </c>
      <c r="O229" s="17">
        <v>7.8770999999999995</v>
      </c>
      <c r="P229" s="19"/>
      <c r="Q229" s="19"/>
      <c r="R229" s="19"/>
      <c r="S229" s="19">
        <v>22475336.728396401</v>
      </c>
      <c r="T229" s="19">
        <v>525645000</v>
      </c>
      <c r="U229" s="19">
        <v>642455000</v>
      </c>
      <c r="V229" s="19">
        <v>1168100000</v>
      </c>
      <c r="W229" s="38">
        <v>64245500</v>
      </c>
      <c r="X229" s="40">
        <v>1232345500</v>
      </c>
      <c r="Y229" s="39">
        <v>123234550</v>
      </c>
      <c r="Z229" s="25"/>
      <c r="AA229" s="13" t="s">
        <v>362</v>
      </c>
      <c r="AB229" s="42">
        <v>31.27</v>
      </c>
      <c r="AC229" s="42">
        <v>4.83</v>
      </c>
      <c r="AD229" s="42">
        <v>56.96</v>
      </c>
      <c r="AE229" s="42">
        <v>61.79</v>
      </c>
      <c r="AF229" s="42">
        <v>93.06</v>
      </c>
    </row>
    <row r="230" spans="1:32">
      <c r="A230" s="22" t="s">
        <v>216</v>
      </c>
      <c r="B230" s="16" t="s">
        <v>436</v>
      </c>
      <c r="C230" s="126" t="s">
        <v>408</v>
      </c>
      <c r="D230" s="18">
        <v>114.28</v>
      </c>
      <c r="E230" s="17">
        <v>34.569699999999997</v>
      </c>
      <c r="F230" s="18">
        <v>249.32</v>
      </c>
      <c r="G230" s="17">
        <v>75.419299999999993</v>
      </c>
      <c r="H230" s="45">
        <v>45.37</v>
      </c>
      <c r="I230" s="45">
        <v>13.724424999999998</v>
      </c>
      <c r="J230" s="45">
        <v>89.67</v>
      </c>
      <c r="K230" s="45">
        <v>27.125174999999999</v>
      </c>
      <c r="L230" s="45">
        <v>135.04</v>
      </c>
      <c r="M230" s="45">
        <v>40.849599999999995</v>
      </c>
      <c r="N230" s="18">
        <v>37.79</v>
      </c>
      <c r="O230" s="17">
        <v>11.431474999999999</v>
      </c>
      <c r="P230" s="19"/>
      <c r="Q230" s="19"/>
      <c r="R230" s="19"/>
      <c r="S230" s="19">
        <v>22483634.825568523</v>
      </c>
      <c r="T230" s="19">
        <v>763065000</v>
      </c>
      <c r="U230" s="19">
        <v>932635000.00000012</v>
      </c>
      <c r="V230" s="19">
        <v>1695700000</v>
      </c>
      <c r="W230" s="38">
        <v>93263500.000000015</v>
      </c>
      <c r="X230" s="40">
        <v>1788963500</v>
      </c>
      <c r="Y230" s="39">
        <v>178896350</v>
      </c>
      <c r="Z230" s="25"/>
      <c r="AA230" s="13" t="s">
        <v>362</v>
      </c>
      <c r="AB230" s="42">
        <v>45.37</v>
      </c>
      <c r="AC230" s="42">
        <v>7.01</v>
      </c>
      <c r="AD230" s="42">
        <v>82.66</v>
      </c>
      <c r="AE230" s="42">
        <v>89.67</v>
      </c>
      <c r="AF230" s="42">
        <v>135.04</v>
      </c>
    </row>
    <row r="231" spans="1:32">
      <c r="A231" s="22" t="s">
        <v>217</v>
      </c>
      <c r="B231" s="16" t="s">
        <v>436</v>
      </c>
      <c r="C231" s="126" t="s">
        <v>408</v>
      </c>
      <c r="D231" s="18">
        <v>105.76</v>
      </c>
      <c r="E231" s="17">
        <v>31.9924</v>
      </c>
      <c r="F231" s="18">
        <v>230.74</v>
      </c>
      <c r="G231" s="17">
        <v>69.798850000000002</v>
      </c>
      <c r="H231" s="45">
        <v>41.99</v>
      </c>
      <c r="I231" s="45">
        <v>12.701975000000001</v>
      </c>
      <c r="J231" s="45">
        <v>82.99</v>
      </c>
      <c r="K231" s="45">
        <v>25.104474999999997</v>
      </c>
      <c r="L231" s="45">
        <v>124.98</v>
      </c>
      <c r="M231" s="45">
        <v>37.806449999999998</v>
      </c>
      <c r="N231" s="18">
        <v>34.97</v>
      </c>
      <c r="O231" s="17">
        <v>10.578424999999999</v>
      </c>
      <c r="P231" s="19"/>
      <c r="Q231" s="19"/>
      <c r="R231" s="19"/>
      <c r="S231" s="19">
        <v>22478880.382699713</v>
      </c>
      <c r="T231" s="19">
        <v>706050000</v>
      </c>
      <c r="U231" s="19">
        <v>862950000.00000012</v>
      </c>
      <c r="V231" s="19">
        <v>1569000000</v>
      </c>
      <c r="W231" s="38">
        <v>86295000.000000015</v>
      </c>
      <c r="X231" s="40">
        <v>1655295000</v>
      </c>
      <c r="Y231" s="39">
        <v>165529500</v>
      </c>
      <c r="Z231" s="25"/>
      <c r="AA231" s="13" t="s">
        <v>362</v>
      </c>
      <c r="AB231" s="42">
        <v>41.99</v>
      </c>
      <c r="AC231" s="42">
        <v>6.49</v>
      </c>
      <c r="AD231" s="42">
        <v>76.5</v>
      </c>
      <c r="AE231" s="42">
        <v>82.99</v>
      </c>
      <c r="AF231" s="42">
        <v>124.98</v>
      </c>
    </row>
    <row r="232" spans="1:32">
      <c r="A232" s="22" t="s">
        <v>218</v>
      </c>
      <c r="B232" s="16" t="s">
        <v>436</v>
      </c>
      <c r="C232" s="126" t="s">
        <v>408</v>
      </c>
      <c r="D232" s="18">
        <v>114.28</v>
      </c>
      <c r="E232" s="17">
        <v>34.569699999999997</v>
      </c>
      <c r="F232" s="18">
        <v>249.32</v>
      </c>
      <c r="G232" s="17">
        <v>75.419299999999993</v>
      </c>
      <c r="H232" s="45">
        <v>45.37</v>
      </c>
      <c r="I232" s="45">
        <v>13.724424999999998</v>
      </c>
      <c r="J232" s="45">
        <v>89.67</v>
      </c>
      <c r="K232" s="45">
        <v>27.125174999999999</v>
      </c>
      <c r="L232" s="45">
        <v>135.04</v>
      </c>
      <c r="M232" s="45">
        <v>40.849599999999995</v>
      </c>
      <c r="N232" s="18">
        <v>37.79</v>
      </c>
      <c r="O232" s="17">
        <v>11.431474999999999</v>
      </c>
      <c r="P232" s="19"/>
      <c r="Q232" s="19"/>
      <c r="R232" s="19"/>
      <c r="S232" s="19">
        <v>22483634.825568523</v>
      </c>
      <c r="T232" s="19">
        <v>763065000</v>
      </c>
      <c r="U232" s="19">
        <v>932635000.00000012</v>
      </c>
      <c r="V232" s="19">
        <v>1695700000</v>
      </c>
      <c r="W232" s="38">
        <v>93263500.000000015</v>
      </c>
      <c r="X232" s="40">
        <v>1788963500</v>
      </c>
      <c r="Y232" s="39">
        <v>178896350</v>
      </c>
      <c r="Z232" s="25"/>
      <c r="AA232" s="13" t="s">
        <v>362</v>
      </c>
      <c r="AB232" s="42">
        <v>45.37</v>
      </c>
      <c r="AC232" s="42">
        <v>7.01</v>
      </c>
      <c r="AD232" s="42">
        <v>82.66</v>
      </c>
      <c r="AE232" s="42">
        <v>89.67</v>
      </c>
      <c r="AF232" s="42">
        <v>135.04</v>
      </c>
    </row>
    <row r="233" spans="1:32">
      <c r="A233" s="22" t="s">
        <v>219</v>
      </c>
      <c r="B233" s="16" t="s">
        <v>436</v>
      </c>
      <c r="C233" s="126" t="s">
        <v>408</v>
      </c>
      <c r="D233" s="18">
        <v>78.75</v>
      </c>
      <c r="E233" s="17">
        <v>23.821874999999999</v>
      </c>
      <c r="F233" s="18">
        <v>171.81</v>
      </c>
      <c r="G233" s="17">
        <v>51.972524999999997</v>
      </c>
      <c r="H233" s="45">
        <v>31.27</v>
      </c>
      <c r="I233" s="45">
        <v>9.4591750000000001</v>
      </c>
      <c r="J233" s="45">
        <v>61.79</v>
      </c>
      <c r="K233" s="45">
        <v>18.691475000000001</v>
      </c>
      <c r="L233" s="45">
        <v>93.06</v>
      </c>
      <c r="M233" s="45">
        <v>28.150649999999999</v>
      </c>
      <c r="N233" s="18">
        <v>26.04</v>
      </c>
      <c r="O233" s="17">
        <v>7.8770999999999995</v>
      </c>
      <c r="P233" s="19"/>
      <c r="Q233" s="19"/>
      <c r="R233" s="19"/>
      <c r="S233" s="19">
        <v>22475336.728396401</v>
      </c>
      <c r="T233" s="19">
        <v>525645000</v>
      </c>
      <c r="U233" s="19">
        <v>642455000</v>
      </c>
      <c r="V233" s="19">
        <v>1168100000</v>
      </c>
      <c r="W233" s="38">
        <v>64245500</v>
      </c>
      <c r="X233" s="40">
        <v>1232345500</v>
      </c>
      <c r="Y233" s="39">
        <v>123234550</v>
      </c>
      <c r="Z233" s="25"/>
      <c r="AA233" s="13" t="s">
        <v>362</v>
      </c>
      <c r="AB233" s="42">
        <v>31.27</v>
      </c>
      <c r="AC233" s="42">
        <v>4.83</v>
      </c>
      <c r="AD233" s="42">
        <v>56.96</v>
      </c>
      <c r="AE233" s="42">
        <v>61.79</v>
      </c>
      <c r="AF233" s="42">
        <v>93.06</v>
      </c>
    </row>
    <row r="234" spans="1:32">
      <c r="A234" s="22" t="s">
        <v>220</v>
      </c>
      <c r="B234" s="16" t="s">
        <v>436</v>
      </c>
      <c r="C234" s="126" t="s">
        <v>408</v>
      </c>
      <c r="D234" s="18">
        <v>78.75</v>
      </c>
      <c r="E234" s="17">
        <v>23.821874999999999</v>
      </c>
      <c r="F234" s="18">
        <v>171.81</v>
      </c>
      <c r="G234" s="17">
        <v>51.972524999999997</v>
      </c>
      <c r="H234" s="45">
        <v>31.27</v>
      </c>
      <c r="I234" s="45">
        <v>9.4591750000000001</v>
      </c>
      <c r="J234" s="45">
        <v>61.79</v>
      </c>
      <c r="K234" s="45">
        <v>18.691475000000001</v>
      </c>
      <c r="L234" s="45">
        <v>93.06</v>
      </c>
      <c r="M234" s="45">
        <v>28.150649999999999</v>
      </c>
      <c r="N234" s="18">
        <v>26.04</v>
      </c>
      <c r="O234" s="17">
        <v>7.8770999999999995</v>
      </c>
      <c r="P234" s="19"/>
      <c r="Q234" s="19"/>
      <c r="R234" s="19"/>
      <c r="S234" s="19">
        <v>22475336.728396401</v>
      </c>
      <c r="T234" s="19">
        <v>525645000</v>
      </c>
      <c r="U234" s="19">
        <v>642455000</v>
      </c>
      <c r="V234" s="19">
        <v>1168100000</v>
      </c>
      <c r="W234" s="38">
        <v>64245500</v>
      </c>
      <c r="X234" s="40">
        <v>1232345500</v>
      </c>
      <c r="Y234" s="39">
        <v>123234550</v>
      </c>
      <c r="Z234" s="25"/>
      <c r="AA234" s="13" t="s">
        <v>362</v>
      </c>
      <c r="AB234" s="42">
        <v>31.27</v>
      </c>
      <c r="AC234" s="42">
        <v>4.83</v>
      </c>
      <c r="AD234" s="42">
        <v>56.96</v>
      </c>
      <c r="AE234" s="42">
        <v>61.79</v>
      </c>
      <c r="AF234" s="42">
        <v>93.06</v>
      </c>
    </row>
    <row r="235" spans="1:32">
      <c r="A235" s="22" t="s">
        <v>221</v>
      </c>
      <c r="B235" s="16" t="s">
        <v>436</v>
      </c>
      <c r="C235" s="126" t="s">
        <v>408</v>
      </c>
      <c r="D235" s="18">
        <v>78.75</v>
      </c>
      <c r="E235" s="17">
        <v>23.821874999999999</v>
      </c>
      <c r="F235" s="18">
        <v>171.81</v>
      </c>
      <c r="G235" s="17">
        <v>51.972524999999997</v>
      </c>
      <c r="H235" s="45">
        <v>31.27</v>
      </c>
      <c r="I235" s="45">
        <v>9.4591750000000001</v>
      </c>
      <c r="J235" s="45">
        <v>61.79</v>
      </c>
      <c r="K235" s="45">
        <v>18.691475000000001</v>
      </c>
      <c r="L235" s="45">
        <v>93.06</v>
      </c>
      <c r="M235" s="45">
        <v>28.150649999999999</v>
      </c>
      <c r="N235" s="18">
        <v>26.04</v>
      </c>
      <c r="O235" s="17">
        <v>7.8770999999999995</v>
      </c>
      <c r="P235" s="19"/>
      <c r="Q235" s="19"/>
      <c r="R235" s="19"/>
      <c r="S235" s="19">
        <v>22475336.728396401</v>
      </c>
      <c r="T235" s="19">
        <v>525645000</v>
      </c>
      <c r="U235" s="19">
        <v>642455000</v>
      </c>
      <c r="V235" s="19">
        <v>1168100000</v>
      </c>
      <c r="W235" s="38">
        <v>64245500</v>
      </c>
      <c r="X235" s="40">
        <v>1232345500</v>
      </c>
      <c r="Y235" s="39">
        <v>123234550</v>
      </c>
      <c r="Z235" s="25"/>
      <c r="AA235" s="13" t="s">
        <v>362</v>
      </c>
      <c r="AB235" s="42">
        <v>31.27</v>
      </c>
      <c r="AC235" s="42">
        <v>4.83</v>
      </c>
      <c r="AD235" s="42">
        <v>56.96</v>
      </c>
      <c r="AE235" s="42">
        <v>61.79</v>
      </c>
      <c r="AF235" s="42">
        <v>93.06</v>
      </c>
    </row>
    <row r="236" spans="1:32">
      <c r="A236" s="22" t="s">
        <v>222</v>
      </c>
      <c r="B236" s="16" t="s">
        <v>436</v>
      </c>
      <c r="C236" s="126" t="s">
        <v>408</v>
      </c>
      <c r="D236" s="18">
        <v>78.75</v>
      </c>
      <c r="E236" s="17">
        <v>23.821874999999999</v>
      </c>
      <c r="F236" s="18">
        <v>171.81</v>
      </c>
      <c r="G236" s="17">
        <v>51.972524999999997</v>
      </c>
      <c r="H236" s="45">
        <v>31.27</v>
      </c>
      <c r="I236" s="45">
        <v>9.4591750000000001</v>
      </c>
      <c r="J236" s="45">
        <v>61.79</v>
      </c>
      <c r="K236" s="45">
        <v>18.691475000000001</v>
      </c>
      <c r="L236" s="45">
        <v>93.06</v>
      </c>
      <c r="M236" s="45">
        <v>28.150649999999999</v>
      </c>
      <c r="N236" s="18">
        <v>26.04</v>
      </c>
      <c r="O236" s="17">
        <v>7.8770999999999995</v>
      </c>
      <c r="P236" s="19"/>
      <c r="Q236" s="19"/>
      <c r="R236" s="19"/>
      <c r="S236" s="19">
        <v>22475336.728396401</v>
      </c>
      <c r="T236" s="19">
        <v>525645000</v>
      </c>
      <c r="U236" s="19">
        <v>642455000</v>
      </c>
      <c r="V236" s="19">
        <v>1168100000</v>
      </c>
      <c r="W236" s="38">
        <v>64245500</v>
      </c>
      <c r="X236" s="40">
        <v>1232345500</v>
      </c>
      <c r="Y236" s="39">
        <v>123234550</v>
      </c>
      <c r="Z236" s="25"/>
      <c r="AA236" s="13" t="s">
        <v>362</v>
      </c>
      <c r="AB236" s="42">
        <v>31.27</v>
      </c>
      <c r="AC236" s="42">
        <v>4.83</v>
      </c>
      <c r="AD236" s="42">
        <v>56.96</v>
      </c>
      <c r="AE236" s="42">
        <v>61.79</v>
      </c>
      <c r="AF236" s="42">
        <v>93.06</v>
      </c>
    </row>
    <row r="237" spans="1:32">
      <c r="A237" s="22" t="s">
        <v>223</v>
      </c>
      <c r="B237" s="16" t="s">
        <v>436</v>
      </c>
      <c r="C237" s="126" t="s">
        <v>408</v>
      </c>
      <c r="D237" s="18">
        <v>78.75</v>
      </c>
      <c r="E237" s="17">
        <v>23.821874999999999</v>
      </c>
      <c r="F237" s="18">
        <v>171.81</v>
      </c>
      <c r="G237" s="17">
        <v>51.972524999999997</v>
      </c>
      <c r="H237" s="45">
        <v>31.27</v>
      </c>
      <c r="I237" s="45">
        <v>9.4591750000000001</v>
      </c>
      <c r="J237" s="45">
        <v>61.79</v>
      </c>
      <c r="K237" s="45">
        <v>18.691475000000001</v>
      </c>
      <c r="L237" s="45">
        <v>93.06</v>
      </c>
      <c r="M237" s="45">
        <v>28.150649999999999</v>
      </c>
      <c r="N237" s="18">
        <v>26.04</v>
      </c>
      <c r="O237" s="17">
        <v>7.8770999999999995</v>
      </c>
      <c r="P237" s="19"/>
      <c r="Q237" s="19"/>
      <c r="R237" s="19"/>
      <c r="S237" s="19">
        <v>22475336.728396401</v>
      </c>
      <c r="T237" s="19">
        <v>525645000</v>
      </c>
      <c r="U237" s="19">
        <v>642455000</v>
      </c>
      <c r="V237" s="19">
        <v>1168100000</v>
      </c>
      <c r="W237" s="38">
        <v>64245500</v>
      </c>
      <c r="X237" s="40">
        <v>1232345500</v>
      </c>
      <c r="Y237" s="39">
        <v>123234550</v>
      </c>
      <c r="Z237" s="25"/>
      <c r="AA237" s="13" t="s">
        <v>362</v>
      </c>
      <c r="AB237" s="42">
        <v>31.27</v>
      </c>
      <c r="AC237" s="42">
        <v>4.83</v>
      </c>
      <c r="AD237" s="42">
        <v>56.96</v>
      </c>
      <c r="AE237" s="42">
        <v>61.79</v>
      </c>
      <c r="AF237" s="42">
        <v>93.06</v>
      </c>
    </row>
    <row r="238" spans="1:32">
      <c r="A238" s="22" t="s">
        <v>224</v>
      </c>
      <c r="B238" s="16" t="s">
        <v>436</v>
      </c>
      <c r="C238" s="126" t="s">
        <v>408</v>
      </c>
      <c r="D238" s="18">
        <v>78.75</v>
      </c>
      <c r="E238" s="17">
        <v>23.821874999999999</v>
      </c>
      <c r="F238" s="18">
        <v>171.81</v>
      </c>
      <c r="G238" s="17">
        <v>51.972524999999997</v>
      </c>
      <c r="H238" s="45">
        <v>31.27</v>
      </c>
      <c r="I238" s="45">
        <v>9.4591750000000001</v>
      </c>
      <c r="J238" s="45">
        <v>61.79</v>
      </c>
      <c r="K238" s="45">
        <v>18.691475000000001</v>
      </c>
      <c r="L238" s="45">
        <v>93.06</v>
      </c>
      <c r="M238" s="45">
        <v>28.150649999999999</v>
      </c>
      <c r="N238" s="18">
        <v>26.04</v>
      </c>
      <c r="O238" s="17">
        <v>7.8770999999999995</v>
      </c>
      <c r="P238" s="19"/>
      <c r="Q238" s="19"/>
      <c r="R238" s="19"/>
      <c r="S238" s="19">
        <v>22475336.728396401</v>
      </c>
      <c r="T238" s="19">
        <v>525645000</v>
      </c>
      <c r="U238" s="19">
        <v>642455000</v>
      </c>
      <c r="V238" s="19">
        <v>1168100000</v>
      </c>
      <c r="W238" s="38">
        <v>64245500</v>
      </c>
      <c r="X238" s="40">
        <v>1232345500</v>
      </c>
      <c r="Y238" s="39">
        <v>123234550</v>
      </c>
      <c r="Z238" s="25"/>
      <c r="AA238" s="13" t="s">
        <v>362</v>
      </c>
      <c r="AB238" s="42">
        <v>31.27</v>
      </c>
      <c r="AC238" s="42">
        <v>4.83</v>
      </c>
      <c r="AD238" s="42">
        <v>56.96</v>
      </c>
      <c r="AE238" s="42">
        <v>61.79</v>
      </c>
      <c r="AF238" s="42">
        <v>93.06</v>
      </c>
    </row>
    <row r="239" spans="1:32">
      <c r="A239" s="22" t="s">
        <v>225</v>
      </c>
      <c r="B239" s="16" t="s">
        <v>436</v>
      </c>
      <c r="C239" s="126" t="s">
        <v>408</v>
      </c>
      <c r="D239" s="18">
        <v>107.98</v>
      </c>
      <c r="E239" s="17">
        <v>32.66395</v>
      </c>
      <c r="F239" s="18">
        <v>235.57999999999998</v>
      </c>
      <c r="G239" s="17">
        <v>71.262949999999989</v>
      </c>
      <c r="H239" s="45">
        <v>42.87</v>
      </c>
      <c r="I239" s="45">
        <v>12.968174999999999</v>
      </c>
      <c r="J239" s="45">
        <v>84.72999999999999</v>
      </c>
      <c r="K239" s="45">
        <v>25.630824999999994</v>
      </c>
      <c r="L239" s="45">
        <v>127.6</v>
      </c>
      <c r="M239" s="45">
        <v>38.598999999999997</v>
      </c>
      <c r="N239" s="18">
        <v>35.71</v>
      </c>
      <c r="O239" s="17">
        <v>10.802275</v>
      </c>
      <c r="P239" s="19"/>
      <c r="Q239" s="19"/>
      <c r="R239" s="19"/>
      <c r="S239" s="19">
        <v>22473108.396438826</v>
      </c>
      <c r="T239" s="19">
        <v>720675000</v>
      </c>
      <c r="U239" s="19">
        <v>880825000.00000012</v>
      </c>
      <c r="V239" s="19">
        <v>1601500000</v>
      </c>
      <c r="W239" s="38">
        <v>88082500.000000015</v>
      </c>
      <c r="X239" s="40">
        <v>1689582500</v>
      </c>
      <c r="Y239" s="39">
        <v>168958250</v>
      </c>
      <c r="Z239" s="25"/>
      <c r="AA239" s="13" t="s">
        <v>362</v>
      </c>
      <c r="AB239" s="42">
        <v>42.87</v>
      </c>
      <c r="AC239" s="42">
        <v>6.63</v>
      </c>
      <c r="AD239" s="42">
        <v>78.099999999999994</v>
      </c>
      <c r="AE239" s="42">
        <v>84.72999999999999</v>
      </c>
      <c r="AF239" s="42">
        <v>127.6</v>
      </c>
    </row>
    <row r="240" spans="1:32" s="92" customFormat="1">
      <c r="A240" s="83"/>
      <c r="B240" s="84"/>
      <c r="C240" s="127" t="s">
        <v>476</v>
      </c>
      <c r="D240" s="73">
        <v>783.3</v>
      </c>
      <c r="E240" s="85">
        <v>236.94824999999997</v>
      </c>
      <c r="F240" s="73">
        <v>1816.95</v>
      </c>
      <c r="G240" s="85">
        <v>549.62737500000003</v>
      </c>
      <c r="H240" s="74">
        <v>419.02</v>
      </c>
      <c r="I240" s="74">
        <v>126.75354999999999</v>
      </c>
      <c r="J240" s="74">
        <v>614.63000000000011</v>
      </c>
      <c r="K240" s="74">
        <v>185.92557500000004</v>
      </c>
      <c r="L240" s="74">
        <v>1033.6500000000001</v>
      </c>
      <c r="M240" s="74">
        <v>312.679125</v>
      </c>
      <c r="N240" s="73">
        <v>259.02</v>
      </c>
      <c r="O240" s="85">
        <v>78.353549999999998</v>
      </c>
      <c r="P240" s="86"/>
      <c r="Q240" s="86"/>
      <c r="R240" s="86"/>
      <c r="S240" s="86">
        <v>9600000</v>
      </c>
      <c r="T240" s="86">
        <v>2374389900</v>
      </c>
      <c r="U240" s="86">
        <v>2902032100</v>
      </c>
      <c r="V240" s="86">
        <v>5276422000</v>
      </c>
      <c r="W240" s="87">
        <v>290203210</v>
      </c>
      <c r="X240" s="88">
        <v>5566625210</v>
      </c>
      <c r="Y240" s="89">
        <v>556662521</v>
      </c>
      <c r="Z240" s="37"/>
      <c r="AA240" s="90"/>
      <c r="AB240" s="91">
        <v>419.02</v>
      </c>
      <c r="AC240" s="91">
        <v>48.06</v>
      </c>
      <c r="AD240" s="91">
        <v>566.57000000000005</v>
      </c>
      <c r="AE240" s="91">
        <v>614.63000000000011</v>
      </c>
      <c r="AF240" s="91">
        <v>1033.6500000000001</v>
      </c>
    </row>
    <row r="241" spans="1:32" s="105" customFormat="1">
      <c r="A241" s="93"/>
      <c r="B241" s="94"/>
      <c r="C241" s="127" t="s">
        <v>477</v>
      </c>
      <c r="D241" s="95">
        <v>48.51</v>
      </c>
      <c r="E241" s="85">
        <v>14.674275</v>
      </c>
      <c r="F241" s="95">
        <v>105.84</v>
      </c>
      <c r="G241" s="96">
        <v>32.016599999999997</v>
      </c>
      <c r="H241" s="97">
        <v>19.260000000000002</v>
      </c>
      <c r="I241" s="97">
        <v>5.8261500000000002</v>
      </c>
      <c r="J241" s="97">
        <v>38.07</v>
      </c>
      <c r="K241" s="97">
        <v>11.516175</v>
      </c>
      <c r="L241" s="97">
        <v>57.330000000000005</v>
      </c>
      <c r="M241" s="97">
        <v>17.342325000000002</v>
      </c>
      <c r="N241" s="95">
        <v>16.04</v>
      </c>
      <c r="O241" s="96">
        <v>4.8520999999999992</v>
      </c>
      <c r="P241" s="98"/>
      <c r="Q241" s="98"/>
      <c r="R241" s="98"/>
      <c r="S241" s="98">
        <v>9600000</v>
      </c>
      <c r="T241" s="98">
        <v>138311550</v>
      </c>
      <c r="U241" s="98">
        <v>169047450</v>
      </c>
      <c r="V241" s="98">
        <v>307359000</v>
      </c>
      <c r="W241" s="99">
        <v>16904745</v>
      </c>
      <c r="X241" s="100">
        <v>324263745</v>
      </c>
      <c r="Y241" s="101">
        <v>32426374.5</v>
      </c>
      <c r="Z241" s="102"/>
      <c r="AA241" s="103" t="s">
        <v>362</v>
      </c>
      <c r="AB241" s="104">
        <v>19.260000000000002</v>
      </c>
      <c r="AC241" s="104">
        <v>2.98</v>
      </c>
      <c r="AD241" s="104">
        <v>35.090000000000003</v>
      </c>
      <c r="AE241" s="104">
        <v>38.07</v>
      </c>
      <c r="AF241" s="104">
        <v>57.330000000000005</v>
      </c>
    </row>
    <row r="242" spans="1:32" s="92" customFormat="1">
      <c r="A242" s="83"/>
      <c r="B242" s="84"/>
      <c r="C242" s="127" t="s">
        <v>476</v>
      </c>
      <c r="D242" s="73">
        <v>332.39</v>
      </c>
      <c r="E242" s="85">
        <v>100.54797499999999</v>
      </c>
      <c r="F242" s="73">
        <v>771.01</v>
      </c>
      <c r="G242" s="85">
        <v>233.230525</v>
      </c>
      <c r="H242" s="74">
        <v>177.81</v>
      </c>
      <c r="I242" s="74">
        <v>53.787525000000002</v>
      </c>
      <c r="J242" s="74">
        <v>260.81</v>
      </c>
      <c r="K242" s="74">
        <v>78.895025000000004</v>
      </c>
      <c r="L242" s="74">
        <v>438.62</v>
      </c>
      <c r="M242" s="74">
        <v>132.68254999999999</v>
      </c>
      <c r="N242" s="73">
        <v>109.92</v>
      </c>
      <c r="O242" s="85">
        <v>33.250799999999998</v>
      </c>
      <c r="P242" s="86"/>
      <c r="Q242" s="86"/>
      <c r="R242" s="86"/>
      <c r="S242" s="86">
        <v>9600000</v>
      </c>
      <c r="T242" s="86">
        <v>1007555850</v>
      </c>
      <c r="U242" s="86">
        <v>1231457150</v>
      </c>
      <c r="V242" s="86">
        <v>2239013000</v>
      </c>
      <c r="W242" s="87">
        <v>123145715</v>
      </c>
      <c r="X242" s="88">
        <v>2362158715</v>
      </c>
      <c r="Y242" s="89">
        <v>236215871.5</v>
      </c>
      <c r="Z242" s="37"/>
      <c r="AA242" s="90"/>
      <c r="AB242" s="91">
        <v>177.81</v>
      </c>
      <c r="AC242" s="91">
        <v>20.39</v>
      </c>
      <c r="AD242" s="91">
        <v>240.42</v>
      </c>
      <c r="AE242" s="91">
        <v>260.81</v>
      </c>
      <c r="AF242" s="91">
        <v>438.62</v>
      </c>
    </row>
    <row r="243" spans="1:32" s="105" customFormat="1">
      <c r="A243" s="93"/>
      <c r="B243" s="94"/>
      <c r="C243" s="127" t="s">
        <v>477</v>
      </c>
      <c r="D243" s="95">
        <v>87.43</v>
      </c>
      <c r="E243" s="85">
        <v>26.447575000000001</v>
      </c>
      <c r="F243" s="95">
        <v>190.74</v>
      </c>
      <c r="G243" s="96">
        <v>57.69885</v>
      </c>
      <c r="H243" s="97">
        <v>34.71</v>
      </c>
      <c r="I243" s="97">
        <v>10.499775</v>
      </c>
      <c r="J243" s="97">
        <v>68.600000000000009</v>
      </c>
      <c r="K243" s="97">
        <v>20.751500000000004</v>
      </c>
      <c r="L243" s="97">
        <v>103.31</v>
      </c>
      <c r="M243" s="97">
        <v>31.251275</v>
      </c>
      <c r="N243" s="95">
        <v>28.91</v>
      </c>
      <c r="O243" s="96">
        <v>8.7452749999999995</v>
      </c>
      <c r="P243" s="98"/>
      <c r="Q243" s="98"/>
      <c r="R243" s="98"/>
      <c r="S243" s="98">
        <v>9600000</v>
      </c>
      <c r="T243" s="98">
        <v>249258600</v>
      </c>
      <c r="U243" s="98">
        <v>304649400</v>
      </c>
      <c r="V243" s="98">
        <v>553908000</v>
      </c>
      <c r="W243" s="99">
        <v>30464940</v>
      </c>
      <c r="X243" s="100">
        <v>584372940</v>
      </c>
      <c r="Y243" s="101">
        <v>58437294</v>
      </c>
      <c r="Z243" s="102"/>
      <c r="AA243" s="103" t="s">
        <v>362</v>
      </c>
      <c r="AB243" s="104">
        <v>34.71</v>
      </c>
      <c r="AC243" s="104">
        <v>5.36</v>
      </c>
      <c r="AD243" s="104">
        <v>63.24</v>
      </c>
      <c r="AE243" s="104">
        <v>68.600000000000009</v>
      </c>
      <c r="AF243" s="104">
        <v>103.31</v>
      </c>
    </row>
    <row r="244" spans="1:32" s="92" customFormat="1">
      <c r="A244" s="83"/>
      <c r="B244" s="84"/>
      <c r="C244" s="127" t="s">
        <v>476</v>
      </c>
      <c r="D244" s="73">
        <v>169.26</v>
      </c>
      <c r="E244" s="85">
        <v>51.201149999999998</v>
      </c>
      <c r="F244" s="73">
        <v>392.61</v>
      </c>
      <c r="G244" s="85">
        <v>118.76452500000001</v>
      </c>
      <c r="H244" s="74">
        <v>90.54</v>
      </c>
      <c r="I244" s="74">
        <v>27.388350000000003</v>
      </c>
      <c r="J244" s="74">
        <v>132.81</v>
      </c>
      <c r="K244" s="74">
        <v>40.175024999999998</v>
      </c>
      <c r="L244" s="74">
        <v>223.35000000000002</v>
      </c>
      <c r="M244" s="74">
        <v>67.563375000000008</v>
      </c>
      <c r="N244" s="73">
        <v>55.97</v>
      </c>
      <c r="O244" s="85">
        <v>16.930924999999998</v>
      </c>
      <c r="P244" s="86"/>
      <c r="Q244" s="86"/>
      <c r="R244" s="86"/>
      <c r="S244" s="86">
        <v>9600000</v>
      </c>
      <c r="T244" s="86">
        <v>513062550</v>
      </c>
      <c r="U244" s="86">
        <v>627076450</v>
      </c>
      <c r="V244" s="86">
        <v>1140139000</v>
      </c>
      <c r="W244" s="87">
        <v>62707645</v>
      </c>
      <c r="X244" s="88">
        <v>1202846645</v>
      </c>
      <c r="Y244" s="89">
        <v>120284664.5</v>
      </c>
      <c r="Z244" s="37"/>
      <c r="AA244" s="90"/>
      <c r="AB244" s="91">
        <v>90.54</v>
      </c>
      <c r="AC244" s="91">
        <v>10.38</v>
      </c>
      <c r="AD244" s="91">
        <v>122.43</v>
      </c>
      <c r="AE244" s="91">
        <v>132.81</v>
      </c>
      <c r="AF244" s="91">
        <v>223.35000000000002</v>
      </c>
    </row>
    <row r="245" spans="1:32">
      <c r="A245" s="404" t="s">
        <v>428</v>
      </c>
      <c r="B245" s="405"/>
      <c r="C245" s="125">
        <v>27</v>
      </c>
      <c r="D245" s="27">
        <v>3191.8500000000004</v>
      </c>
      <c r="E245" s="27">
        <v>965.53462499999966</v>
      </c>
      <c r="F245" s="27">
        <v>7140.86</v>
      </c>
      <c r="G245" s="27">
        <v>2123.9704750000001</v>
      </c>
      <c r="H245" s="27">
        <v>1444.4999999999998</v>
      </c>
      <c r="I245" s="27">
        <v>436.96124999999995</v>
      </c>
      <c r="J245" s="27">
        <v>2504.5099999999998</v>
      </c>
      <c r="K245" s="27">
        <v>757.61427500000025</v>
      </c>
      <c r="L245" s="27">
        <v>3949.0099999999993</v>
      </c>
      <c r="M245" s="27">
        <v>1194.575525</v>
      </c>
      <c r="N245" s="27">
        <v>1055.47</v>
      </c>
      <c r="O245" s="27">
        <v>319.279675</v>
      </c>
      <c r="P245" s="28"/>
      <c r="Q245" s="28">
        <v>0</v>
      </c>
      <c r="R245" s="28">
        <v>0</v>
      </c>
      <c r="S245" s="28">
        <v>22236581.544510029</v>
      </c>
      <c r="T245" s="28">
        <v>15983838450</v>
      </c>
      <c r="U245" s="28">
        <v>19535802550</v>
      </c>
      <c r="V245" s="28">
        <v>25989500000</v>
      </c>
      <c r="W245" s="28">
        <v>1953580255</v>
      </c>
      <c r="X245" s="28">
        <v>37473221255</v>
      </c>
      <c r="Y245" s="43"/>
      <c r="Z245" s="25"/>
      <c r="AB245" s="42"/>
      <c r="AC245" s="42"/>
      <c r="AD245" s="42"/>
      <c r="AE245" s="42"/>
      <c r="AF245" s="42"/>
    </row>
    <row r="246" spans="1:32">
      <c r="A246" s="22" t="s">
        <v>226</v>
      </c>
      <c r="B246" s="16" t="s">
        <v>436</v>
      </c>
      <c r="C246" s="126" t="s">
        <v>408</v>
      </c>
      <c r="D246" s="18">
        <v>63.53</v>
      </c>
      <c r="E246" s="17">
        <v>19.217825000000001</v>
      </c>
      <c r="F246" s="18">
        <v>138.6</v>
      </c>
      <c r="G246" s="17">
        <v>41.926499999999997</v>
      </c>
      <c r="H246" s="45">
        <v>25.22</v>
      </c>
      <c r="I246" s="45">
        <v>7.6290499999999994</v>
      </c>
      <c r="J246" s="45">
        <v>49.85</v>
      </c>
      <c r="K246" s="45">
        <v>15.079625</v>
      </c>
      <c r="L246" s="45">
        <v>75.069999999999993</v>
      </c>
      <c r="M246" s="45">
        <v>22.708674999999996</v>
      </c>
      <c r="N246" s="18">
        <v>21.01</v>
      </c>
      <c r="O246" s="17">
        <v>6.3555250000000001</v>
      </c>
      <c r="P246" s="19"/>
      <c r="Q246" s="19"/>
      <c r="R246" s="19"/>
      <c r="S246" s="19">
        <v>22677781.355467308</v>
      </c>
      <c r="T246" s="19">
        <v>427860000</v>
      </c>
      <c r="U246" s="19">
        <v>522940000.00000006</v>
      </c>
      <c r="V246" s="19">
        <v>950800000</v>
      </c>
      <c r="W246" s="38">
        <v>52294000.000000007</v>
      </c>
      <c r="X246" s="40">
        <v>1003094000</v>
      </c>
      <c r="Y246" s="39">
        <v>100309400</v>
      </c>
      <c r="Z246" s="25"/>
      <c r="AA246" s="13" t="s">
        <v>407</v>
      </c>
      <c r="AB246" s="42">
        <v>25.22</v>
      </c>
      <c r="AC246" s="42">
        <v>3.9</v>
      </c>
      <c r="AD246" s="42">
        <v>45.95</v>
      </c>
      <c r="AE246" s="42">
        <v>49.85</v>
      </c>
      <c r="AF246" s="42">
        <v>75.069999999999993</v>
      </c>
    </row>
    <row r="247" spans="1:32">
      <c r="A247" s="22" t="s">
        <v>227</v>
      </c>
      <c r="B247" s="16" t="s">
        <v>436</v>
      </c>
      <c r="C247" s="126" t="s">
        <v>408</v>
      </c>
      <c r="D247" s="18">
        <v>53.02</v>
      </c>
      <c r="E247" s="17">
        <v>16.038550000000001</v>
      </c>
      <c r="F247" s="18">
        <v>115.67000000000002</v>
      </c>
      <c r="G247" s="17">
        <v>34.990175000000001</v>
      </c>
      <c r="H247" s="45">
        <v>21.05</v>
      </c>
      <c r="I247" s="45">
        <v>6.3676250000000003</v>
      </c>
      <c r="J247" s="45">
        <v>41.6</v>
      </c>
      <c r="K247" s="45">
        <v>12.584</v>
      </c>
      <c r="L247" s="45">
        <v>62.650000000000006</v>
      </c>
      <c r="M247" s="45">
        <v>18.951625</v>
      </c>
      <c r="N247" s="18">
        <v>17.53</v>
      </c>
      <c r="O247" s="17">
        <v>5.3028250000000003</v>
      </c>
      <c r="P247" s="19"/>
      <c r="Q247" s="19"/>
      <c r="R247" s="19"/>
      <c r="S247" s="19">
        <v>20545767.490445532</v>
      </c>
      <c r="T247" s="19">
        <v>323505000</v>
      </c>
      <c r="U247" s="19">
        <v>395395000.00000006</v>
      </c>
      <c r="V247" s="19">
        <v>718900000</v>
      </c>
      <c r="W247" s="38">
        <v>39539500.000000007</v>
      </c>
      <c r="X247" s="40">
        <v>758439500</v>
      </c>
      <c r="Y247" s="39">
        <v>75843950</v>
      </c>
      <c r="Z247" s="25"/>
      <c r="AA247" s="13" t="s">
        <v>362</v>
      </c>
      <c r="AB247" s="42">
        <v>21.05</v>
      </c>
      <c r="AC247" s="42">
        <v>3.25</v>
      </c>
      <c r="AD247" s="42">
        <v>38.35</v>
      </c>
      <c r="AE247" s="42">
        <v>41.6</v>
      </c>
      <c r="AF247" s="42">
        <v>62.650000000000006</v>
      </c>
    </row>
    <row r="248" spans="1:32">
      <c r="A248" s="22" t="s">
        <v>228</v>
      </c>
      <c r="B248" s="16" t="s">
        <v>436</v>
      </c>
      <c r="C248" s="126" t="s">
        <v>408</v>
      </c>
      <c r="D248" s="18">
        <v>84.56</v>
      </c>
      <c r="E248" s="17">
        <v>25.5794</v>
      </c>
      <c r="F248" s="18">
        <v>184.48</v>
      </c>
      <c r="G248" s="17">
        <v>55.805199999999992</v>
      </c>
      <c r="H248" s="45">
        <v>33.57</v>
      </c>
      <c r="I248" s="45">
        <v>10.154925</v>
      </c>
      <c r="J248" s="45">
        <v>66.349999999999994</v>
      </c>
      <c r="K248" s="45">
        <v>20.070874999999997</v>
      </c>
      <c r="L248" s="45">
        <v>99.919999999999987</v>
      </c>
      <c r="M248" s="45">
        <v>30.225799999999996</v>
      </c>
      <c r="N248" s="18">
        <v>27.96</v>
      </c>
      <c r="O248" s="17">
        <v>8.4579000000000004</v>
      </c>
      <c r="P248" s="19"/>
      <c r="Q248" s="19"/>
      <c r="R248" s="19"/>
      <c r="S248" s="19">
        <v>22682474.034677774</v>
      </c>
      <c r="T248" s="19">
        <v>569610000</v>
      </c>
      <c r="U248" s="19">
        <v>696190000</v>
      </c>
      <c r="V248" s="19">
        <v>1265800000</v>
      </c>
      <c r="W248" s="38">
        <v>69619000</v>
      </c>
      <c r="X248" s="40">
        <v>1335419000</v>
      </c>
      <c r="Y248" s="39">
        <v>133541900</v>
      </c>
      <c r="Z248" s="25"/>
      <c r="AA248" s="13" t="s">
        <v>362</v>
      </c>
      <c r="AB248" s="42">
        <v>33.57</v>
      </c>
      <c r="AC248" s="42">
        <v>5.19</v>
      </c>
      <c r="AD248" s="42">
        <v>61.16</v>
      </c>
      <c r="AE248" s="42">
        <v>66.349999999999994</v>
      </c>
      <c r="AF248" s="42">
        <v>99.919999999999987</v>
      </c>
    </row>
    <row r="249" spans="1:32">
      <c r="A249" s="22" t="s">
        <v>229</v>
      </c>
      <c r="B249" s="16" t="s">
        <v>436</v>
      </c>
      <c r="C249" s="126" t="s">
        <v>408</v>
      </c>
      <c r="D249" s="18">
        <v>76.7</v>
      </c>
      <c r="E249" s="17">
        <v>23.201750000000001</v>
      </c>
      <c r="F249" s="18">
        <v>167.33999999999997</v>
      </c>
      <c r="G249" s="17">
        <v>50.620349999999988</v>
      </c>
      <c r="H249" s="45">
        <v>30.45</v>
      </c>
      <c r="I249" s="45">
        <v>9.2111249999999991</v>
      </c>
      <c r="J249" s="45">
        <v>60.19</v>
      </c>
      <c r="K249" s="45">
        <v>18.207474999999999</v>
      </c>
      <c r="L249" s="45">
        <v>90.639999999999986</v>
      </c>
      <c r="M249" s="45">
        <v>27.418599999999994</v>
      </c>
      <c r="N249" s="18">
        <v>25.36</v>
      </c>
      <c r="O249" s="17">
        <v>7.6713999999999993</v>
      </c>
      <c r="P249" s="19"/>
      <c r="Q249" s="19"/>
      <c r="R249" s="19"/>
      <c r="S249" s="19">
        <v>20539170.511464268</v>
      </c>
      <c r="T249" s="19">
        <v>467865000</v>
      </c>
      <c r="U249" s="19">
        <v>571835000</v>
      </c>
      <c r="V249" s="19">
        <v>1039700000</v>
      </c>
      <c r="W249" s="38">
        <v>57183500</v>
      </c>
      <c r="X249" s="40">
        <v>1096883500</v>
      </c>
      <c r="Y249" s="39">
        <v>109688350</v>
      </c>
      <c r="Z249" s="25"/>
      <c r="AA249" s="13" t="s">
        <v>362</v>
      </c>
      <c r="AB249" s="42">
        <v>30.45</v>
      </c>
      <c r="AC249" s="42">
        <v>4.71</v>
      </c>
      <c r="AD249" s="42">
        <v>55.48</v>
      </c>
      <c r="AE249" s="42">
        <v>60.19</v>
      </c>
      <c r="AF249" s="42">
        <v>90.639999999999986</v>
      </c>
    </row>
    <row r="250" spans="1:32">
      <c r="A250" s="24" t="s">
        <v>230</v>
      </c>
      <c r="B250" s="23" t="s">
        <v>436</v>
      </c>
      <c r="C250" s="126" t="s">
        <v>408</v>
      </c>
      <c r="D250" s="23">
        <v>81.69</v>
      </c>
      <c r="E250" s="17">
        <v>24.711224999999999</v>
      </c>
      <c r="F250" s="18">
        <v>178.22</v>
      </c>
      <c r="G250" s="17">
        <v>53.911549999999998</v>
      </c>
      <c r="H250" s="45">
        <v>32.43</v>
      </c>
      <c r="I250" s="45">
        <v>9.8100749999999994</v>
      </c>
      <c r="J250" s="45">
        <v>64.100000000000009</v>
      </c>
      <c r="K250" s="45">
        <v>19.390250000000002</v>
      </c>
      <c r="L250" s="45">
        <v>96.53</v>
      </c>
      <c r="M250" s="45">
        <v>29.200324999999999</v>
      </c>
      <c r="N250" s="23">
        <v>27.01</v>
      </c>
      <c r="O250" s="17">
        <v>8.1705249999999996</v>
      </c>
      <c r="P250" s="25"/>
      <c r="Q250" s="25"/>
      <c r="R250" s="25"/>
      <c r="S250" s="49">
        <v>22679741.168636408</v>
      </c>
      <c r="T250" s="49">
        <v>550215000</v>
      </c>
      <c r="U250" s="49">
        <v>672485000</v>
      </c>
      <c r="V250" s="19">
        <v>1222700000</v>
      </c>
      <c r="W250" s="38">
        <v>67248500</v>
      </c>
      <c r="X250" s="40">
        <v>1289948500</v>
      </c>
      <c r="Y250" s="39">
        <v>128994850</v>
      </c>
      <c r="Z250" s="25"/>
      <c r="AA250" s="13" t="s">
        <v>362</v>
      </c>
      <c r="AB250" s="42">
        <v>32.43</v>
      </c>
      <c r="AC250" s="42">
        <v>5.01</v>
      </c>
      <c r="AD250" s="42">
        <v>59.09</v>
      </c>
      <c r="AE250" s="42">
        <v>64.100000000000009</v>
      </c>
      <c r="AF250" s="42">
        <v>96.53</v>
      </c>
    </row>
    <row r="251" spans="1:32">
      <c r="A251" s="24" t="s">
        <v>231</v>
      </c>
      <c r="B251" s="23" t="s">
        <v>436</v>
      </c>
      <c r="C251" s="126" t="s">
        <v>408</v>
      </c>
      <c r="D251" s="23">
        <v>81.69</v>
      </c>
      <c r="E251" s="17">
        <v>24.711224999999999</v>
      </c>
      <c r="F251" s="18">
        <v>178.22</v>
      </c>
      <c r="G251" s="17">
        <v>53.911549999999998</v>
      </c>
      <c r="H251" s="45">
        <v>32.43</v>
      </c>
      <c r="I251" s="45">
        <v>9.8100749999999994</v>
      </c>
      <c r="J251" s="45">
        <v>64.100000000000009</v>
      </c>
      <c r="K251" s="45">
        <v>19.390250000000002</v>
      </c>
      <c r="L251" s="45">
        <v>96.53</v>
      </c>
      <c r="M251" s="45">
        <v>29.200324999999999</v>
      </c>
      <c r="N251" s="23">
        <v>27.01</v>
      </c>
      <c r="O251" s="17">
        <v>8.1705249999999996</v>
      </c>
      <c r="P251" s="25"/>
      <c r="Q251" s="25"/>
      <c r="R251" s="25"/>
      <c r="S251" s="49">
        <v>22679741.168636408</v>
      </c>
      <c r="T251" s="49">
        <v>550215000</v>
      </c>
      <c r="U251" s="49">
        <v>672485000</v>
      </c>
      <c r="V251" s="19">
        <v>1222700000</v>
      </c>
      <c r="W251" s="38">
        <v>67248500</v>
      </c>
      <c r="X251" s="40">
        <v>1289948500</v>
      </c>
      <c r="Y251" s="39">
        <v>128994850</v>
      </c>
      <c r="Z251" s="25"/>
      <c r="AA251" s="13" t="s">
        <v>362</v>
      </c>
      <c r="AB251" s="42">
        <v>32.43</v>
      </c>
      <c r="AC251" s="42">
        <v>5.01</v>
      </c>
      <c r="AD251" s="42">
        <v>59.09</v>
      </c>
      <c r="AE251" s="42">
        <v>64.100000000000009</v>
      </c>
      <c r="AF251" s="42">
        <v>96.53</v>
      </c>
    </row>
    <row r="252" spans="1:32">
      <c r="A252" s="24" t="s">
        <v>232</v>
      </c>
      <c r="B252" s="23" t="s">
        <v>436</v>
      </c>
      <c r="C252" s="126" t="s">
        <v>408</v>
      </c>
      <c r="D252" s="23">
        <v>81.69</v>
      </c>
      <c r="E252" s="17">
        <v>24.711224999999999</v>
      </c>
      <c r="F252" s="18">
        <v>178.22</v>
      </c>
      <c r="G252" s="17">
        <v>53.911549999999998</v>
      </c>
      <c r="H252" s="45">
        <v>32.43</v>
      </c>
      <c r="I252" s="45">
        <v>9.8100749999999994</v>
      </c>
      <c r="J252" s="45">
        <v>64.100000000000009</v>
      </c>
      <c r="K252" s="45">
        <v>19.390250000000002</v>
      </c>
      <c r="L252" s="45">
        <v>96.53</v>
      </c>
      <c r="M252" s="45">
        <v>29.200324999999999</v>
      </c>
      <c r="N252" s="23">
        <v>27.01</v>
      </c>
      <c r="O252" s="17">
        <v>8.1705249999999996</v>
      </c>
      <c r="P252" s="25"/>
      <c r="Q252" s="25"/>
      <c r="R252" s="25"/>
      <c r="S252" s="49">
        <v>22679741.168636408</v>
      </c>
      <c r="T252" s="49">
        <v>550215000</v>
      </c>
      <c r="U252" s="49">
        <v>672485000</v>
      </c>
      <c r="V252" s="19">
        <v>1222700000</v>
      </c>
      <c r="W252" s="38">
        <v>67248500</v>
      </c>
      <c r="X252" s="40">
        <v>1289948500</v>
      </c>
      <c r="Y252" s="39">
        <v>128994850</v>
      </c>
      <c r="Z252" s="25"/>
      <c r="AA252" s="13" t="s">
        <v>362</v>
      </c>
      <c r="AB252" s="42">
        <v>32.43</v>
      </c>
      <c r="AC252" s="42">
        <v>5.01</v>
      </c>
      <c r="AD252" s="42">
        <v>59.09</v>
      </c>
      <c r="AE252" s="42">
        <v>64.100000000000009</v>
      </c>
      <c r="AF252" s="42">
        <v>96.53</v>
      </c>
    </row>
    <row r="253" spans="1:32">
      <c r="A253" s="24" t="s">
        <v>233</v>
      </c>
      <c r="B253" s="23" t="s">
        <v>436</v>
      </c>
      <c r="C253" s="126" t="s">
        <v>408</v>
      </c>
      <c r="D253" s="23">
        <v>81.69</v>
      </c>
      <c r="E253" s="17">
        <v>24.711224999999999</v>
      </c>
      <c r="F253" s="18">
        <v>178.22</v>
      </c>
      <c r="G253" s="17">
        <v>53.911549999999998</v>
      </c>
      <c r="H253" s="45">
        <v>32.43</v>
      </c>
      <c r="I253" s="45">
        <v>9.8100749999999994</v>
      </c>
      <c r="J253" s="45">
        <v>64.100000000000009</v>
      </c>
      <c r="K253" s="45">
        <v>19.390250000000002</v>
      </c>
      <c r="L253" s="45">
        <v>96.53</v>
      </c>
      <c r="M253" s="45">
        <v>29.200324999999999</v>
      </c>
      <c r="N253" s="23">
        <v>27.01</v>
      </c>
      <c r="O253" s="17">
        <v>8.1705249999999996</v>
      </c>
      <c r="P253" s="25"/>
      <c r="Q253" s="25"/>
      <c r="R253" s="25"/>
      <c r="S253" s="49">
        <v>22679741.168636408</v>
      </c>
      <c r="T253" s="49">
        <v>550215000</v>
      </c>
      <c r="U253" s="49">
        <v>672485000</v>
      </c>
      <c r="V253" s="19">
        <v>1222700000</v>
      </c>
      <c r="W253" s="38">
        <v>67248500</v>
      </c>
      <c r="X253" s="40">
        <v>1289948500</v>
      </c>
      <c r="Y253" s="39">
        <v>128994850</v>
      </c>
      <c r="Z253" s="25"/>
      <c r="AA253" s="13" t="s">
        <v>362</v>
      </c>
      <c r="AB253" s="42">
        <v>32.43</v>
      </c>
      <c r="AC253" s="42">
        <v>5.01</v>
      </c>
      <c r="AD253" s="42">
        <v>59.09</v>
      </c>
      <c r="AE253" s="42">
        <v>64.100000000000009</v>
      </c>
      <c r="AF253" s="42">
        <v>96.53</v>
      </c>
    </row>
    <row r="254" spans="1:32">
      <c r="A254" s="24" t="s">
        <v>234</v>
      </c>
      <c r="B254" s="23" t="s">
        <v>436</v>
      </c>
      <c r="C254" s="126" t="s">
        <v>408</v>
      </c>
      <c r="D254" s="23">
        <v>66.97</v>
      </c>
      <c r="E254" s="17">
        <v>20.258424999999999</v>
      </c>
      <c r="F254" s="18">
        <v>146.11000000000001</v>
      </c>
      <c r="G254" s="17">
        <v>44.198275000000002</v>
      </c>
      <c r="H254" s="45">
        <v>26.59</v>
      </c>
      <c r="I254" s="45">
        <v>8.043474999999999</v>
      </c>
      <c r="J254" s="45">
        <v>52.55</v>
      </c>
      <c r="K254" s="45">
        <v>15.896374999999999</v>
      </c>
      <c r="L254" s="45">
        <v>79.14</v>
      </c>
      <c r="M254" s="45">
        <v>23.93985</v>
      </c>
      <c r="N254" s="23">
        <v>22.15</v>
      </c>
      <c r="O254" s="17">
        <v>6.7003749999999993</v>
      </c>
      <c r="P254" s="25"/>
      <c r="Q254" s="25"/>
      <c r="R254" s="25"/>
      <c r="S254" s="49">
        <v>20537000.595611479</v>
      </c>
      <c r="T254" s="49">
        <v>408465000</v>
      </c>
      <c r="U254" s="49">
        <v>499235000.00000006</v>
      </c>
      <c r="V254" s="19">
        <v>907700000</v>
      </c>
      <c r="W254" s="38">
        <v>49923500.000000007</v>
      </c>
      <c r="X254" s="40">
        <v>957623500</v>
      </c>
      <c r="Y254" s="39">
        <v>95762350</v>
      </c>
      <c r="Z254" s="25"/>
      <c r="AA254" s="13" t="s">
        <v>362</v>
      </c>
      <c r="AB254" s="42">
        <v>26.59</v>
      </c>
      <c r="AC254" s="42">
        <v>4.1100000000000003</v>
      </c>
      <c r="AD254" s="42">
        <v>48.44</v>
      </c>
      <c r="AE254" s="42">
        <v>52.55</v>
      </c>
      <c r="AF254" s="42">
        <v>79.14</v>
      </c>
    </row>
    <row r="255" spans="1:32">
      <c r="A255" s="24" t="s">
        <v>235</v>
      </c>
      <c r="B255" s="23" t="s">
        <v>436</v>
      </c>
      <c r="C255" s="126" t="s">
        <v>408</v>
      </c>
      <c r="D255" s="23">
        <v>81.69</v>
      </c>
      <c r="E255" s="17">
        <v>24.711224999999999</v>
      </c>
      <c r="F255" s="18">
        <v>178.22</v>
      </c>
      <c r="G255" s="17">
        <v>53.911549999999998</v>
      </c>
      <c r="H255" s="45">
        <v>32.43</v>
      </c>
      <c r="I255" s="45">
        <v>9.8100749999999994</v>
      </c>
      <c r="J255" s="45">
        <v>64.100000000000009</v>
      </c>
      <c r="K255" s="45">
        <v>19.390250000000002</v>
      </c>
      <c r="L255" s="45">
        <v>96.53</v>
      </c>
      <c r="M255" s="45">
        <v>29.200324999999999</v>
      </c>
      <c r="N255" s="23">
        <v>27.01</v>
      </c>
      <c r="O255" s="17">
        <v>8.1705249999999996</v>
      </c>
      <c r="P255" s="25"/>
      <c r="Q255" s="25"/>
      <c r="R255" s="25"/>
      <c r="S255" s="49">
        <v>22679741.168636408</v>
      </c>
      <c r="T255" s="49">
        <v>550215000</v>
      </c>
      <c r="U255" s="49">
        <v>672485000</v>
      </c>
      <c r="V255" s="19">
        <v>1222700000</v>
      </c>
      <c r="W255" s="38">
        <v>67248500</v>
      </c>
      <c r="X255" s="40">
        <v>1289948500</v>
      </c>
      <c r="Y255" s="39">
        <v>128994850</v>
      </c>
      <c r="Z255" s="25"/>
      <c r="AA255" s="13" t="s">
        <v>362</v>
      </c>
      <c r="AB255" s="42">
        <v>32.43</v>
      </c>
      <c r="AC255" s="42">
        <v>5.01</v>
      </c>
      <c r="AD255" s="42">
        <v>59.09</v>
      </c>
      <c r="AE255" s="42">
        <v>64.100000000000009</v>
      </c>
      <c r="AF255" s="42">
        <v>96.53</v>
      </c>
    </row>
    <row r="256" spans="1:32">
      <c r="A256" s="24" t="s">
        <v>236</v>
      </c>
      <c r="B256" s="23" t="s">
        <v>436</v>
      </c>
      <c r="C256" s="126" t="s">
        <v>408</v>
      </c>
      <c r="D256" s="23">
        <v>81.69</v>
      </c>
      <c r="E256" s="17">
        <v>24.711224999999999</v>
      </c>
      <c r="F256" s="18">
        <v>178.22</v>
      </c>
      <c r="G256" s="17">
        <v>53.911549999999998</v>
      </c>
      <c r="H256" s="45">
        <v>32.43</v>
      </c>
      <c r="I256" s="45">
        <v>9.8100749999999994</v>
      </c>
      <c r="J256" s="45">
        <v>64.100000000000009</v>
      </c>
      <c r="K256" s="45">
        <v>19.390250000000002</v>
      </c>
      <c r="L256" s="45">
        <v>96.53</v>
      </c>
      <c r="M256" s="45">
        <v>29.200324999999999</v>
      </c>
      <c r="N256" s="23">
        <v>27.01</v>
      </c>
      <c r="O256" s="17">
        <v>8.1705249999999996</v>
      </c>
      <c r="P256" s="25"/>
      <c r="Q256" s="25"/>
      <c r="R256" s="25"/>
      <c r="S256" s="49">
        <v>22679741.168636408</v>
      </c>
      <c r="T256" s="49">
        <v>550215000</v>
      </c>
      <c r="U256" s="49">
        <v>672485000</v>
      </c>
      <c r="V256" s="19">
        <v>1222700000</v>
      </c>
      <c r="W256" s="38">
        <v>67248500</v>
      </c>
      <c r="X256" s="40">
        <v>1289948500</v>
      </c>
      <c r="Y256" s="39">
        <v>128994850</v>
      </c>
      <c r="Z256" s="25"/>
      <c r="AA256" s="13" t="s">
        <v>362</v>
      </c>
      <c r="AB256" s="42">
        <v>32.43</v>
      </c>
      <c r="AC256" s="42">
        <v>5.01</v>
      </c>
      <c r="AD256" s="42">
        <v>59.09</v>
      </c>
      <c r="AE256" s="42">
        <v>64.100000000000009</v>
      </c>
      <c r="AF256" s="42">
        <v>96.53</v>
      </c>
    </row>
    <row r="257" spans="1:32">
      <c r="A257" s="24" t="s">
        <v>237</v>
      </c>
      <c r="B257" s="23" t="s">
        <v>436</v>
      </c>
      <c r="C257" s="126" t="s">
        <v>408</v>
      </c>
      <c r="D257" s="23">
        <v>119.62</v>
      </c>
      <c r="E257" s="17">
        <v>36.185049999999997</v>
      </c>
      <c r="F257" s="18">
        <v>260.97000000000003</v>
      </c>
      <c r="G257" s="17">
        <v>78.943425000000005</v>
      </c>
      <c r="H257" s="45">
        <v>47.49</v>
      </c>
      <c r="I257" s="45">
        <v>14.365724999999999</v>
      </c>
      <c r="J257" s="45">
        <v>93.86</v>
      </c>
      <c r="K257" s="45">
        <v>28.39265</v>
      </c>
      <c r="L257" s="45">
        <v>141.35</v>
      </c>
      <c r="M257" s="45">
        <v>42.758374999999994</v>
      </c>
      <c r="N257" s="23">
        <v>39.56</v>
      </c>
      <c r="O257" s="17">
        <v>11.966900000000001</v>
      </c>
      <c r="P257" s="25"/>
      <c r="Q257" s="25"/>
      <c r="R257" s="25"/>
      <c r="S257" s="49">
        <v>22683333.032484971</v>
      </c>
      <c r="T257" s="49">
        <v>805815000</v>
      </c>
      <c r="U257" s="49">
        <v>984885000.00000012</v>
      </c>
      <c r="V257" s="19">
        <v>1790700000</v>
      </c>
      <c r="W257" s="38">
        <v>98488500.000000015</v>
      </c>
      <c r="X257" s="40">
        <v>1889188500</v>
      </c>
      <c r="Y257" s="39">
        <v>188918850</v>
      </c>
      <c r="Z257" s="25"/>
      <c r="AA257" s="13" t="s">
        <v>362</v>
      </c>
      <c r="AB257" s="42">
        <v>47.49</v>
      </c>
      <c r="AC257" s="42">
        <v>7.34</v>
      </c>
      <c r="AD257" s="42">
        <v>86.52</v>
      </c>
      <c r="AE257" s="42">
        <v>93.86</v>
      </c>
      <c r="AF257" s="42">
        <v>141.35</v>
      </c>
    </row>
    <row r="258" spans="1:32">
      <c r="A258" s="24" t="s">
        <v>238</v>
      </c>
      <c r="B258" s="23" t="s">
        <v>436</v>
      </c>
      <c r="C258" s="126" t="s">
        <v>408</v>
      </c>
      <c r="D258" s="23">
        <v>109.6</v>
      </c>
      <c r="E258" s="17">
        <v>33.153999999999996</v>
      </c>
      <c r="F258" s="18">
        <v>239.10999999999999</v>
      </c>
      <c r="G258" s="17">
        <v>72.330774999999988</v>
      </c>
      <c r="H258" s="45">
        <v>43.51</v>
      </c>
      <c r="I258" s="45">
        <v>13.161774999999999</v>
      </c>
      <c r="J258" s="45">
        <v>86</v>
      </c>
      <c r="K258" s="45">
        <v>26.015000000000001</v>
      </c>
      <c r="L258" s="45">
        <v>129.51</v>
      </c>
      <c r="M258" s="45">
        <v>39.176774999999999</v>
      </c>
      <c r="N258" s="23">
        <v>36.24</v>
      </c>
      <c r="O258" s="17">
        <v>10.9626</v>
      </c>
      <c r="P258" s="25"/>
      <c r="Q258" s="25"/>
      <c r="R258" s="25"/>
      <c r="S258" s="49">
        <v>22683290.756942675</v>
      </c>
      <c r="T258" s="49">
        <v>738315000</v>
      </c>
      <c r="U258" s="49">
        <v>902385000.00000012</v>
      </c>
      <c r="V258" s="19">
        <v>1640700000</v>
      </c>
      <c r="W258" s="38">
        <v>90238500.000000015</v>
      </c>
      <c r="X258" s="40">
        <v>1730938500</v>
      </c>
      <c r="Y258" s="39">
        <v>173093850</v>
      </c>
      <c r="Z258" s="25"/>
      <c r="AA258" s="13" t="s">
        <v>362</v>
      </c>
      <c r="AB258" s="42">
        <v>43.51</v>
      </c>
      <c r="AC258" s="42">
        <v>6.72</v>
      </c>
      <c r="AD258" s="42">
        <v>79.28</v>
      </c>
      <c r="AE258" s="42">
        <v>86</v>
      </c>
      <c r="AF258" s="42">
        <v>129.51</v>
      </c>
    </row>
    <row r="259" spans="1:32">
      <c r="A259" s="24" t="s">
        <v>239</v>
      </c>
      <c r="B259" s="23" t="s">
        <v>436</v>
      </c>
      <c r="C259" s="126" t="s">
        <v>408</v>
      </c>
      <c r="D259" s="23">
        <v>119.62</v>
      </c>
      <c r="E259" s="17">
        <v>36.185049999999997</v>
      </c>
      <c r="F259" s="18">
        <v>260.97000000000003</v>
      </c>
      <c r="G259" s="17">
        <v>78.943425000000005</v>
      </c>
      <c r="H259" s="45">
        <v>47.49</v>
      </c>
      <c r="I259" s="45">
        <v>14.365724999999999</v>
      </c>
      <c r="J259" s="45">
        <v>93.86</v>
      </c>
      <c r="K259" s="45">
        <v>28.39265</v>
      </c>
      <c r="L259" s="45">
        <v>141.35</v>
      </c>
      <c r="M259" s="45">
        <v>42.758374999999994</v>
      </c>
      <c r="N259" s="23">
        <v>39.56</v>
      </c>
      <c r="O259" s="17">
        <v>11.966900000000001</v>
      </c>
      <c r="P259" s="25"/>
      <c r="Q259" s="25"/>
      <c r="R259" s="25"/>
      <c r="S259" s="49">
        <v>22683333.032484971</v>
      </c>
      <c r="T259" s="49">
        <v>805815000</v>
      </c>
      <c r="U259" s="49">
        <v>984885000.00000012</v>
      </c>
      <c r="V259" s="19">
        <v>1790700000</v>
      </c>
      <c r="W259" s="38">
        <v>98488500.000000015</v>
      </c>
      <c r="X259" s="40">
        <v>1889188500</v>
      </c>
      <c r="Y259" s="39">
        <v>188918850</v>
      </c>
      <c r="Z259" s="25"/>
      <c r="AA259" s="13" t="s">
        <v>362</v>
      </c>
      <c r="AB259" s="42">
        <v>47.49</v>
      </c>
      <c r="AC259" s="42">
        <v>7.34</v>
      </c>
      <c r="AD259" s="42">
        <v>86.52</v>
      </c>
      <c r="AE259" s="42">
        <v>93.86</v>
      </c>
      <c r="AF259" s="42">
        <v>141.35</v>
      </c>
    </row>
    <row r="260" spans="1:32">
      <c r="A260" s="24" t="s">
        <v>240</v>
      </c>
      <c r="B260" s="23" t="s">
        <v>436</v>
      </c>
      <c r="C260" s="126" t="s">
        <v>408</v>
      </c>
      <c r="D260" s="23">
        <v>81.69</v>
      </c>
      <c r="E260" s="17">
        <v>24.711224999999999</v>
      </c>
      <c r="F260" s="18">
        <v>178.22</v>
      </c>
      <c r="G260" s="17">
        <v>53.911549999999998</v>
      </c>
      <c r="H260" s="45">
        <v>32.43</v>
      </c>
      <c r="I260" s="45">
        <v>9.8100749999999994</v>
      </c>
      <c r="J260" s="45">
        <v>64.100000000000009</v>
      </c>
      <c r="K260" s="45">
        <v>19.390250000000002</v>
      </c>
      <c r="L260" s="45">
        <v>96.53</v>
      </c>
      <c r="M260" s="45">
        <v>29.200324999999999</v>
      </c>
      <c r="N260" s="23">
        <v>27.01</v>
      </c>
      <c r="O260" s="17">
        <v>8.1705249999999996</v>
      </c>
      <c r="P260" s="25"/>
      <c r="Q260" s="25"/>
      <c r="R260" s="25"/>
      <c r="S260" s="49">
        <v>22679741.168636408</v>
      </c>
      <c r="T260" s="49">
        <v>550215000</v>
      </c>
      <c r="U260" s="49">
        <v>672485000</v>
      </c>
      <c r="V260" s="19">
        <v>1222700000</v>
      </c>
      <c r="W260" s="38">
        <v>67248500</v>
      </c>
      <c r="X260" s="40">
        <v>1289948500</v>
      </c>
      <c r="Y260" s="39">
        <v>128994850</v>
      </c>
      <c r="Z260" s="25"/>
      <c r="AA260" s="13" t="s">
        <v>362</v>
      </c>
      <c r="AB260" s="42">
        <v>32.43</v>
      </c>
      <c r="AC260" s="42">
        <v>5.01</v>
      </c>
      <c r="AD260" s="42">
        <v>59.09</v>
      </c>
      <c r="AE260" s="42">
        <v>64.100000000000009</v>
      </c>
      <c r="AF260" s="42">
        <v>96.53</v>
      </c>
    </row>
    <row r="261" spans="1:32">
      <c r="A261" s="24" t="s">
        <v>241</v>
      </c>
      <c r="B261" s="23" t="s">
        <v>436</v>
      </c>
      <c r="C261" s="126" t="s">
        <v>408</v>
      </c>
      <c r="D261" s="23">
        <v>81.69</v>
      </c>
      <c r="E261" s="17">
        <v>24.711224999999999</v>
      </c>
      <c r="F261" s="18">
        <v>178.22</v>
      </c>
      <c r="G261" s="17">
        <v>53.911549999999998</v>
      </c>
      <c r="H261" s="45">
        <v>32.43</v>
      </c>
      <c r="I261" s="45">
        <v>9.8100749999999994</v>
      </c>
      <c r="J261" s="45">
        <v>64.100000000000009</v>
      </c>
      <c r="K261" s="45">
        <v>19.390250000000002</v>
      </c>
      <c r="L261" s="45">
        <v>96.53</v>
      </c>
      <c r="M261" s="45">
        <v>29.200324999999999</v>
      </c>
      <c r="N261" s="23">
        <v>27.01</v>
      </c>
      <c r="O261" s="17">
        <v>8.1705249999999996</v>
      </c>
      <c r="P261" s="25"/>
      <c r="Q261" s="25"/>
      <c r="R261" s="25"/>
      <c r="S261" s="49">
        <v>22679741.168636408</v>
      </c>
      <c r="T261" s="49">
        <v>550215000</v>
      </c>
      <c r="U261" s="49">
        <v>672485000</v>
      </c>
      <c r="V261" s="19">
        <v>1222700000</v>
      </c>
      <c r="W261" s="38">
        <v>67248500</v>
      </c>
      <c r="X261" s="40">
        <v>1289948500</v>
      </c>
      <c r="Y261" s="39">
        <v>128994850</v>
      </c>
      <c r="Z261" s="25"/>
      <c r="AA261" s="13" t="s">
        <v>362</v>
      </c>
      <c r="AB261" s="42">
        <v>32.43</v>
      </c>
      <c r="AC261" s="42">
        <v>5.01</v>
      </c>
      <c r="AD261" s="42">
        <v>59.09</v>
      </c>
      <c r="AE261" s="42">
        <v>64.100000000000009</v>
      </c>
      <c r="AF261" s="42">
        <v>96.53</v>
      </c>
    </row>
    <row r="262" spans="1:32">
      <c r="A262" s="24" t="s">
        <v>242</v>
      </c>
      <c r="B262" s="23" t="s">
        <v>436</v>
      </c>
      <c r="C262" s="126" t="s">
        <v>408</v>
      </c>
      <c r="D262" s="23">
        <v>81.69</v>
      </c>
      <c r="E262" s="17">
        <v>24.711224999999999</v>
      </c>
      <c r="F262" s="18">
        <v>178.22</v>
      </c>
      <c r="G262" s="17">
        <v>53.911549999999998</v>
      </c>
      <c r="H262" s="45">
        <v>32.43</v>
      </c>
      <c r="I262" s="45">
        <v>9.8100749999999994</v>
      </c>
      <c r="J262" s="45">
        <v>64.100000000000009</v>
      </c>
      <c r="K262" s="45">
        <v>19.390250000000002</v>
      </c>
      <c r="L262" s="45">
        <v>96.53</v>
      </c>
      <c r="M262" s="45">
        <v>29.200324999999999</v>
      </c>
      <c r="N262" s="23">
        <v>27.01</v>
      </c>
      <c r="O262" s="17">
        <v>8.1705249999999996</v>
      </c>
      <c r="P262" s="25"/>
      <c r="Q262" s="25"/>
      <c r="R262" s="25"/>
      <c r="S262" s="49">
        <v>22679741.168636408</v>
      </c>
      <c r="T262" s="49">
        <v>550215000</v>
      </c>
      <c r="U262" s="49">
        <v>672485000</v>
      </c>
      <c r="V262" s="19">
        <v>1222700000</v>
      </c>
      <c r="W262" s="38">
        <v>67248500</v>
      </c>
      <c r="X262" s="40">
        <v>1289948500</v>
      </c>
      <c r="Y262" s="39">
        <v>128994850</v>
      </c>
      <c r="Z262" s="25"/>
      <c r="AA262" s="13" t="s">
        <v>362</v>
      </c>
      <c r="AB262" s="42">
        <v>32.43</v>
      </c>
      <c r="AC262" s="42">
        <v>5.01</v>
      </c>
      <c r="AD262" s="42">
        <v>59.09</v>
      </c>
      <c r="AE262" s="42">
        <v>64.100000000000009</v>
      </c>
      <c r="AF262" s="42">
        <v>96.53</v>
      </c>
    </row>
    <row r="263" spans="1:32">
      <c r="A263" s="24" t="s">
        <v>243</v>
      </c>
      <c r="B263" s="23" t="s">
        <v>436</v>
      </c>
      <c r="C263" s="126" t="s">
        <v>408</v>
      </c>
      <c r="D263" s="23">
        <v>81.69</v>
      </c>
      <c r="E263" s="17">
        <v>24.711224999999999</v>
      </c>
      <c r="F263" s="18">
        <v>178.22</v>
      </c>
      <c r="G263" s="17">
        <v>53.911549999999998</v>
      </c>
      <c r="H263" s="45">
        <v>32.43</v>
      </c>
      <c r="I263" s="45">
        <v>9.8100749999999994</v>
      </c>
      <c r="J263" s="45">
        <v>64.100000000000009</v>
      </c>
      <c r="K263" s="45">
        <v>19.390250000000002</v>
      </c>
      <c r="L263" s="45">
        <v>96.53</v>
      </c>
      <c r="M263" s="45">
        <v>29.200324999999999</v>
      </c>
      <c r="N263" s="23">
        <v>27.01</v>
      </c>
      <c r="O263" s="17">
        <v>8.1705249999999996</v>
      </c>
      <c r="P263" s="25"/>
      <c r="Q263" s="25"/>
      <c r="R263" s="25"/>
      <c r="S263" s="49">
        <v>22679741.168636408</v>
      </c>
      <c r="T263" s="49">
        <v>550215000</v>
      </c>
      <c r="U263" s="49">
        <v>672485000</v>
      </c>
      <c r="V263" s="19">
        <v>1222700000</v>
      </c>
      <c r="W263" s="38">
        <v>67248500</v>
      </c>
      <c r="X263" s="40">
        <v>1289948500</v>
      </c>
      <c r="Y263" s="39">
        <v>128994850</v>
      </c>
      <c r="Z263" s="25"/>
      <c r="AA263" s="13" t="s">
        <v>362</v>
      </c>
      <c r="AB263" s="42">
        <v>32.43</v>
      </c>
      <c r="AC263" s="42">
        <v>5.01</v>
      </c>
      <c r="AD263" s="42">
        <v>59.09</v>
      </c>
      <c r="AE263" s="42">
        <v>64.100000000000009</v>
      </c>
      <c r="AF263" s="42">
        <v>96.53</v>
      </c>
    </row>
    <row r="264" spans="1:32">
      <c r="A264" s="24" t="s">
        <v>244</v>
      </c>
      <c r="B264" s="23" t="s">
        <v>436</v>
      </c>
      <c r="C264" s="126" t="s">
        <v>408</v>
      </c>
      <c r="D264" s="23">
        <v>81.69</v>
      </c>
      <c r="E264" s="17">
        <v>24.711224999999999</v>
      </c>
      <c r="F264" s="18">
        <v>178.22</v>
      </c>
      <c r="G264" s="17">
        <v>53.911549999999998</v>
      </c>
      <c r="H264" s="45">
        <v>32.43</v>
      </c>
      <c r="I264" s="45">
        <v>9.8100749999999994</v>
      </c>
      <c r="J264" s="45">
        <v>64.100000000000009</v>
      </c>
      <c r="K264" s="45">
        <v>19.390250000000002</v>
      </c>
      <c r="L264" s="45">
        <v>96.53</v>
      </c>
      <c r="M264" s="45">
        <v>29.200324999999999</v>
      </c>
      <c r="N264" s="23">
        <v>27.01</v>
      </c>
      <c r="O264" s="17">
        <v>8.1705249999999996</v>
      </c>
      <c r="P264" s="25"/>
      <c r="Q264" s="25"/>
      <c r="R264" s="25"/>
      <c r="S264" s="49">
        <v>22679741.168636408</v>
      </c>
      <c r="T264" s="49">
        <v>550215000</v>
      </c>
      <c r="U264" s="49">
        <v>672485000</v>
      </c>
      <c r="V264" s="19">
        <v>1222700000</v>
      </c>
      <c r="W264" s="38">
        <v>67248500</v>
      </c>
      <c r="X264" s="40">
        <v>1289948500</v>
      </c>
      <c r="Y264" s="39">
        <v>128994850</v>
      </c>
      <c r="Z264" s="25"/>
      <c r="AA264" s="13" t="s">
        <v>362</v>
      </c>
      <c r="AB264" s="42">
        <v>32.43</v>
      </c>
      <c r="AC264" s="42">
        <v>5.01</v>
      </c>
      <c r="AD264" s="42">
        <v>59.09</v>
      </c>
      <c r="AE264" s="42">
        <v>64.100000000000009</v>
      </c>
      <c r="AF264" s="42">
        <v>96.53</v>
      </c>
    </row>
    <row r="265" spans="1:32">
      <c r="A265" s="24" t="s">
        <v>245</v>
      </c>
      <c r="B265" s="23" t="s">
        <v>436</v>
      </c>
      <c r="C265" s="126" t="s">
        <v>408</v>
      </c>
      <c r="D265" s="23">
        <v>102.11</v>
      </c>
      <c r="E265" s="17">
        <v>30.888275</v>
      </c>
      <c r="F265" s="18">
        <v>222.76999999999998</v>
      </c>
      <c r="G265" s="17">
        <v>67.387924999999996</v>
      </c>
      <c r="H265" s="45">
        <v>40.54</v>
      </c>
      <c r="I265" s="45">
        <v>12.263349999999999</v>
      </c>
      <c r="J265" s="45">
        <v>80.12</v>
      </c>
      <c r="K265" s="45">
        <v>24.2363</v>
      </c>
      <c r="L265" s="45">
        <v>120.66</v>
      </c>
      <c r="M265" s="45">
        <v>36.499649999999995</v>
      </c>
      <c r="N265" s="23">
        <v>33.770000000000003</v>
      </c>
      <c r="O265" s="17">
        <v>10.215425000000002</v>
      </c>
      <c r="P265" s="25"/>
      <c r="Q265" s="25"/>
      <c r="R265" s="25"/>
      <c r="S265" s="49">
        <v>22682105.139756121</v>
      </c>
      <c r="T265" s="49">
        <v>687825000</v>
      </c>
      <c r="U265" s="49">
        <v>840675000.00000012</v>
      </c>
      <c r="V265" s="19">
        <v>1528500000</v>
      </c>
      <c r="W265" s="38">
        <v>84067500.000000015</v>
      </c>
      <c r="X265" s="40">
        <v>1612567500</v>
      </c>
      <c r="Y265" s="39">
        <v>161256750</v>
      </c>
      <c r="Z265" s="25"/>
      <c r="AA265" s="13" t="s">
        <v>362</v>
      </c>
      <c r="AB265" s="42">
        <v>40.54</v>
      </c>
      <c r="AC265" s="42">
        <v>6.26</v>
      </c>
      <c r="AD265" s="42">
        <v>73.86</v>
      </c>
      <c r="AE265" s="42">
        <v>80.12</v>
      </c>
      <c r="AF265" s="42">
        <v>120.66</v>
      </c>
    </row>
    <row r="266" spans="1:32">
      <c r="A266" s="24" t="s">
        <v>246</v>
      </c>
      <c r="B266" s="23" t="s">
        <v>436</v>
      </c>
      <c r="C266" s="126" t="s">
        <v>408</v>
      </c>
      <c r="D266" s="23">
        <v>107.41</v>
      </c>
      <c r="E266" s="17">
        <v>32.491524999999996</v>
      </c>
      <c r="F266" s="18">
        <v>234.33999999999997</v>
      </c>
      <c r="G266" s="17">
        <v>70.887849999999986</v>
      </c>
      <c r="H266" s="45">
        <v>42.65</v>
      </c>
      <c r="I266" s="45">
        <v>12.901624999999999</v>
      </c>
      <c r="J266" s="45">
        <v>84.28</v>
      </c>
      <c r="K266" s="45">
        <v>25.494699999999998</v>
      </c>
      <c r="L266" s="45">
        <v>126.92999999999999</v>
      </c>
      <c r="M266" s="45">
        <v>38.396324999999997</v>
      </c>
      <c r="N266" s="23">
        <v>35.520000000000003</v>
      </c>
      <c r="O266" s="17">
        <v>10.744800000000001</v>
      </c>
      <c r="P266" s="25"/>
      <c r="Q266" s="25"/>
      <c r="R266" s="25"/>
      <c r="S266" s="49">
        <v>22679485.976792924</v>
      </c>
      <c r="T266" s="49">
        <v>723465000</v>
      </c>
      <c r="U266" s="49">
        <v>884235000.00000012</v>
      </c>
      <c r="V266" s="19">
        <v>1607700000</v>
      </c>
      <c r="W266" s="38">
        <v>88423500.000000015</v>
      </c>
      <c r="X266" s="40">
        <v>1696123500</v>
      </c>
      <c r="Y266" s="39">
        <v>169612350</v>
      </c>
      <c r="Z266" s="25"/>
      <c r="AA266" s="13" t="s">
        <v>362</v>
      </c>
      <c r="AB266" s="42">
        <v>42.65</v>
      </c>
      <c r="AC266" s="42">
        <v>6.59</v>
      </c>
      <c r="AD266" s="42">
        <v>77.69</v>
      </c>
      <c r="AE266" s="42">
        <v>84.28</v>
      </c>
      <c r="AF266" s="42">
        <v>126.92999999999999</v>
      </c>
    </row>
    <row r="267" spans="1:32" s="92" customFormat="1">
      <c r="A267" s="83"/>
      <c r="B267" s="84"/>
      <c r="C267" s="127" t="s">
        <v>476</v>
      </c>
      <c r="D267" s="84">
        <v>783.3</v>
      </c>
      <c r="E267" s="85">
        <v>236.94824999999997</v>
      </c>
      <c r="F267" s="73">
        <v>1816.95</v>
      </c>
      <c r="G267" s="85">
        <v>549.62737500000003</v>
      </c>
      <c r="H267" s="74">
        <v>419.02</v>
      </c>
      <c r="I267" s="74">
        <v>126.75354999999999</v>
      </c>
      <c r="J267" s="74">
        <v>614.63000000000011</v>
      </c>
      <c r="K267" s="74">
        <v>185.92557500000004</v>
      </c>
      <c r="L267" s="74">
        <v>1033.6500000000001</v>
      </c>
      <c r="M267" s="74">
        <v>312.679125</v>
      </c>
      <c r="N267" s="84">
        <v>259.02</v>
      </c>
      <c r="O267" s="85">
        <v>78.353549999999998</v>
      </c>
      <c r="P267" s="37"/>
      <c r="Q267" s="37"/>
      <c r="R267" s="37"/>
      <c r="S267" s="86">
        <v>9800000</v>
      </c>
      <c r="T267" s="86">
        <v>2423856600</v>
      </c>
      <c r="U267" s="86">
        <v>2962491400.0000005</v>
      </c>
      <c r="V267" s="86">
        <v>5386348000</v>
      </c>
      <c r="W267" s="106">
        <v>296249140.00000006</v>
      </c>
      <c r="X267" s="88">
        <v>5682597140</v>
      </c>
      <c r="Y267" s="89">
        <v>568259714</v>
      </c>
      <c r="Z267" s="37"/>
      <c r="AA267" s="90"/>
      <c r="AB267" s="91">
        <v>419.02</v>
      </c>
      <c r="AC267" s="91">
        <v>48.06</v>
      </c>
      <c r="AD267" s="91">
        <v>566.57000000000005</v>
      </c>
      <c r="AE267" s="91">
        <v>614.63000000000011</v>
      </c>
      <c r="AF267" s="91">
        <v>1033.6500000000001</v>
      </c>
    </row>
    <row r="268" spans="1:32" s="105" customFormat="1">
      <c r="A268" s="93"/>
      <c r="B268" s="94"/>
      <c r="C268" s="127" t="s">
        <v>477</v>
      </c>
      <c r="D268" s="94">
        <v>48.51</v>
      </c>
      <c r="E268" s="85">
        <v>14.674275</v>
      </c>
      <c r="F268" s="95">
        <v>105.84</v>
      </c>
      <c r="G268" s="96">
        <v>32.016599999999997</v>
      </c>
      <c r="H268" s="97">
        <v>19.260000000000002</v>
      </c>
      <c r="I268" s="97">
        <v>5.8261500000000002</v>
      </c>
      <c r="J268" s="97">
        <v>38.07</v>
      </c>
      <c r="K268" s="97">
        <v>11.516175</v>
      </c>
      <c r="L268" s="97">
        <v>57.33</v>
      </c>
      <c r="M268" s="97">
        <v>17.342324999999999</v>
      </c>
      <c r="N268" s="94">
        <v>16.04</v>
      </c>
      <c r="O268" s="96">
        <v>4.8520999999999992</v>
      </c>
      <c r="P268" s="102"/>
      <c r="Q268" s="102"/>
      <c r="R268" s="102"/>
      <c r="S268" s="98">
        <v>9800000</v>
      </c>
      <c r="T268" s="98">
        <v>141192900</v>
      </c>
      <c r="U268" s="98">
        <v>172569100</v>
      </c>
      <c r="V268" s="98">
        <v>313762000</v>
      </c>
      <c r="W268" s="107">
        <v>17256910</v>
      </c>
      <c r="X268" s="100">
        <v>331018910</v>
      </c>
      <c r="Y268" s="101">
        <v>33101891</v>
      </c>
      <c r="Z268" s="102"/>
      <c r="AA268" s="103" t="s">
        <v>362</v>
      </c>
      <c r="AB268" s="104">
        <v>19.260000000000002</v>
      </c>
      <c r="AC268" s="104">
        <v>2.98</v>
      </c>
      <c r="AD268" s="104">
        <v>35.090000000000003</v>
      </c>
      <c r="AE268" s="104">
        <v>38.07</v>
      </c>
      <c r="AF268" s="104">
        <v>57.33</v>
      </c>
    </row>
    <row r="269" spans="1:32" s="92" customFormat="1">
      <c r="A269" s="83"/>
      <c r="B269" s="84"/>
      <c r="C269" s="127" t="s">
        <v>476</v>
      </c>
      <c r="D269" s="84">
        <v>332.39</v>
      </c>
      <c r="E269" s="85">
        <v>100.54797499999999</v>
      </c>
      <c r="F269" s="73">
        <v>771.01</v>
      </c>
      <c r="G269" s="85">
        <v>233.230525</v>
      </c>
      <c r="H269" s="74">
        <v>177.81</v>
      </c>
      <c r="I269" s="74">
        <v>53.787525000000002</v>
      </c>
      <c r="J269" s="74">
        <v>260.81</v>
      </c>
      <c r="K269" s="74">
        <v>78.895025000000004</v>
      </c>
      <c r="L269" s="74">
        <v>438.62</v>
      </c>
      <c r="M269" s="74">
        <v>132.68254999999999</v>
      </c>
      <c r="N269" s="84">
        <v>109.92</v>
      </c>
      <c r="O269" s="85">
        <v>33.250799999999998</v>
      </c>
      <c r="P269" s="37"/>
      <c r="Q269" s="37"/>
      <c r="R269" s="37"/>
      <c r="S269" s="86">
        <v>9800000</v>
      </c>
      <c r="T269" s="86">
        <v>1028546550</v>
      </c>
      <c r="U269" s="86">
        <v>1257112450</v>
      </c>
      <c r="V269" s="86">
        <v>2285659000</v>
      </c>
      <c r="W269" s="106">
        <v>125711245</v>
      </c>
      <c r="X269" s="88">
        <v>2411370245</v>
      </c>
      <c r="Y269" s="89">
        <v>241137024.5</v>
      </c>
      <c r="Z269" s="37"/>
      <c r="AA269" s="90"/>
      <c r="AB269" s="91">
        <v>177.81</v>
      </c>
      <c r="AC269" s="91">
        <v>20.39</v>
      </c>
      <c r="AD269" s="91">
        <v>240.42</v>
      </c>
      <c r="AE269" s="91">
        <v>260.81</v>
      </c>
      <c r="AF269" s="91">
        <v>438.62</v>
      </c>
    </row>
    <row r="270" spans="1:32" s="105" customFormat="1">
      <c r="A270" s="93"/>
      <c r="B270" s="94"/>
      <c r="C270" s="127" t="s">
        <v>477</v>
      </c>
      <c r="D270" s="94">
        <v>84.56</v>
      </c>
      <c r="E270" s="85">
        <v>25.5794</v>
      </c>
      <c r="F270" s="95">
        <v>184.48</v>
      </c>
      <c r="G270" s="96">
        <v>55.805199999999992</v>
      </c>
      <c r="H270" s="97">
        <v>33.57</v>
      </c>
      <c r="I270" s="97">
        <v>10.154925</v>
      </c>
      <c r="J270" s="97">
        <v>66.349999999999994</v>
      </c>
      <c r="K270" s="97">
        <v>20.070874999999997</v>
      </c>
      <c r="L270" s="97">
        <v>99.919999999999987</v>
      </c>
      <c r="M270" s="97">
        <v>30.225799999999996</v>
      </c>
      <c r="N270" s="94">
        <v>27.96</v>
      </c>
      <c r="O270" s="96">
        <v>8.4579000000000004</v>
      </c>
      <c r="P270" s="102"/>
      <c r="Q270" s="102"/>
      <c r="R270" s="102"/>
      <c r="S270" s="98">
        <v>9800000</v>
      </c>
      <c r="T270" s="98">
        <v>246100500</v>
      </c>
      <c r="U270" s="98">
        <v>300789500</v>
      </c>
      <c r="V270" s="98">
        <v>546890000</v>
      </c>
      <c r="W270" s="107">
        <v>30078950</v>
      </c>
      <c r="X270" s="100">
        <v>576968950</v>
      </c>
      <c r="Y270" s="101">
        <v>57696895</v>
      </c>
      <c r="Z270" s="102"/>
      <c r="AA270" s="103" t="s">
        <v>362</v>
      </c>
      <c r="AB270" s="104">
        <v>33.57</v>
      </c>
      <c r="AC270" s="104">
        <v>5.19</v>
      </c>
      <c r="AD270" s="104">
        <v>61.16</v>
      </c>
      <c r="AE270" s="104">
        <v>66.349999999999994</v>
      </c>
      <c r="AF270" s="104">
        <v>99.919999999999987</v>
      </c>
    </row>
    <row r="271" spans="1:32" s="92" customFormat="1">
      <c r="A271" s="84"/>
      <c r="B271" s="84"/>
      <c r="C271" s="127" t="s">
        <v>476</v>
      </c>
      <c r="D271" s="84">
        <v>172.13</v>
      </c>
      <c r="E271" s="85">
        <v>52.069324999999999</v>
      </c>
      <c r="F271" s="73">
        <v>399.27</v>
      </c>
      <c r="G271" s="85">
        <v>120.779175</v>
      </c>
      <c r="H271" s="74">
        <v>92.08</v>
      </c>
      <c r="I271" s="74">
        <v>27.854199999999999</v>
      </c>
      <c r="J271" s="74">
        <v>135.06</v>
      </c>
      <c r="K271" s="74">
        <v>40.855649999999997</v>
      </c>
      <c r="L271" s="74">
        <v>227.14</v>
      </c>
      <c r="M271" s="74">
        <v>68.709849999999989</v>
      </c>
      <c r="N271" s="84">
        <v>56.92</v>
      </c>
      <c r="O271" s="85">
        <v>17.218299999999999</v>
      </c>
      <c r="P271" s="37"/>
      <c r="Q271" s="37"/>
      <c r="R271" s="37"/>
      <c r="S271" s="86">
        <v>9800000</v>
      </c>
      <c r="T271" s="86">
        <v>532635750</v>
      </c>
      <c r="U271" s="86">
        <v>650999250</v>
      </c>
      <c r="V271" s="86">
        <v>1183635000</v>
      </c>
      <c r="W271" s="106">
        <v>65099925</v>
      </c>
      <c r="X271" s="88">
        <v>1248734925</v>
      </c>
      <c r="Y271" s="89">
        <v>124873492.5</v>
      </c>
      <c r="Z271" s="37"/>
      <c r="AA271" s="90"/>
      <c r="AB271" s="91">
        <v>92.08</v>
      </c>
      <c r="AC271" s="91">
        <v>10.56</v>
      </c>
      <c r="AD271" s="91">
        <v>124.5</v>
      </c>
      <c r="AE271" s="91">
        <v>135.06</v>
      </c>
      <c r="AF271" s="91">
        <v>227.14</v>
      </c>
    </row>
    <row r="272" spans="1:32">
      <c r="A272" s="419" t="s">
        <v>429</v>
      </c>
      <c r="B272" s="420"/>
      <c r="C272" s="125">
        <v>26</v>
      </c>
      <c r="D272" s="29">
        <v>3222.6200000000008</v>
      </c>
      <c r="E272" s="29">
        <v>974.84254999999996</v>
      </c>
      <c r="F272" s="29">
        <v>7208.3299999999981</v>
      </c>
      <c r="G272" s="29">
        <v>2180.5198250000003</v>
      </c>
      <c r="H272" s="29">
        <v>1457.0299999999997</v>
      </c>
      <c r="I272" s="29">
        <v>440.751575</v>
      </c>
      <c r="J272" s="29">
        <v>2528.6799999999998</v>
      </c>
      <c r="K272" s="29">
        <v>764.92570000000001</v>
      </c>
      <c r="L272" s="29">
        <v>3985.7099999999996</v>
      </c>
      <c r="M272" s="29">
        <v>1205.677275</v>
      </c>
      <c r="N272" s="29">
        <v>1065.6299999999999</v>
      </c>
      <c r="O272" s="29">
        <v>322.35307499999993</v>
      </c>
      <c r="P272" s="30"/>
      <c r="Q272" s="30">
        <v>0</v>
      </c>
      <c r="R272" s="30">
        <v>0</v>
      </c>
      <c r="S272" s="30">
        <v>22447041.087338705</v>
      </c>
      <c r="T272" s="30">
        <v>12010905000</v>
      </c>
      <c r="U272" s="30">
        <v>14679995000</v>
      </c>
      <c r="V272" s="30">
        <v>26690900000</v>
      </c>
      <c r="W272" s="30">
        <v>1467999500</v>
      </c>
      <c r="X272" s="30">
        <v>28158899500</v>
      </c>
      <c r="Y272" s="43"/>
      <c r="Z272" s="25"/>
      <c r="AB272" s="42"/>
      <c r="AC272" s="42"/>
      <c r="AD272" s="42"/>
      <c r="AE272" s="42"/>
      <c r="AF272" s="42"/>
    </row>
    <row r="273" spans="1:32">
      <c r="A273" s="24" t="s">
        <v>247</v>
      </c>
      <c r="B273" s="16" t="s">
        <v>436</v>
      </c>
      <c r="C273" s="126" t="s">
        <v>408</v>
      </c>
      <c r="D273" s="23">
        <v>98.06</v>
      </c>
      <c r="E273" s="17">
        <v>29.663149999999998</v>
      </c>
      <c r="F273" s="18">
        <v>213.94</v>
      </c>
      <c r="G273" s="17">
        <v>64.716849999999994</v>
      </c>
      <c r="H273" s="45">
        <v>38.93</v>
      </c>
      <c r="I273" s="45">
        <v>11.776325</v>
      </c>
      <c r="J273" s="45">
        <v>76.95</v>
      </c>
      <c r="K273" s="45">
        <v>23.277374999999999</v>
      </c>
      <c r="L273" s="45">
        <v>115.88000000000001</v>
      </c>
      <c r="M273" s="45">
        <v>35.053699999999999</v>
      </c>
      <c r="N273" s="23">
        <v>32.43</v>
      </c>
      <c r="O273" s="17">
        <v>9.8100749999999994</v>
      </c>
      <c r="P273" s="25"/>
      <c r="Q273" s="25"/>
      <c r="R273" s="25"/>
      <c r="S273" s="25">
        <v>22680337.500975404</v>
      </c>
      <c r="T273" s="25">
        <v>660510000</v>
      </c>
      <c r="U273" s="25">
        <v>807290000.00000012</v>
      </c>
      <c r="V273" s="25">
        <v>1467800000</v>
      </c>
      <c r="W273" s="38">
        <v>80729000.000000015</v>
      </c>
      <c r="X273" s="40">
        <v>1548529000</v>
      </c>
      <c r="Y273" s="39">
        <v>154852900</v>
      </c>
      <c r="Z273" s="25"/>
      <c r="AA273" s="13" t="s">
        <v>407</v>
      </c>
      <c r="AB273" s="42">
        <v>38.93</v>
      </c>
      <c r="AC273" s="42">
        <v>6.02</v>
      </c>
      <c r="AD273" s="42">
        <v>70.930000000000007</v>
      </c>
      <c r="AE273" s="42">
        <v>76.95</v>
      </c>
      <c r="AF273" s="42">
        <v>115.88000000000001</v>
      </c>
    </row>
    <row r="274" spans="1:32">
      <c r="A274" s="24" t="s">
        <v>248</v>
      </c>
      <c r="B274" s="23" t="s">
        <v>436</v>
      </c>
      <c r="C274" s="126" t="s">
        <v>408</v>
      </c>
      <c r="D274" s="23">
        <v>53.02</v>
      </c>
      <c r="E274" s="17">
        <v>16.038550000000001</v>
      </c>
      <c r="F274" s="18">
        <v>115.67000000000002</v>
      </c>
      <c r="G274" s="17">
        <v>34.990175000000001</v>
      </c>
      <c r="H274" s="45">
        <v>21.05</v>
      </c>
      <c r="I274" s="45">
        <v>6.3676250000000003</v>
      </c>
      <c r="J274" s="45">
        <v>41.6</v>
      </c>
      <c r="K274" s="45">
        <v>12.584</v>
      </c>
      <c r="L274" s="45">
        <v>62.650000000000006</v>
      </c>
      <c r="M274" s="45">
        <v>18.951625</v>
      </c>
      <c r="N274" s="23">
        <v>17.53</v>
      </c>
      <c r="O274" s="17">
        <v>5.3028250000000003</v>
      </c>
      <c r="P274" s="25"/>
      <c r="Q274" s="25"/>
      <c r="R274" s="25"/>
      <c r="S274" s="25">
        <v>20545767.490445532</v>
      </c>
      <c r="T274" s="25">
        <v>323505000</v>
      </c>
      <c r="U274" s="25">
        <v>395395000.00000006</v>
      </c>
      <c r="V274" s="25">
        <v>718900000</v>
      </c>
      <c r="W274" s="38">
        <v>39539500.000000007</v>
      </c>
      <c r="X274" s="40">
        <v>758439500</v>
      </c>
      <c r="Y274" s="39">
        <v>75843950</v>
      </c>
      <c r="Z274" s="25"/>
      <c r="AA274" s="13" t="s">
        <v>362</v>
      </c>
      <c r="AB274" s="42">
        <v>21.05</v>
      </c>
      <c r="AC274" s="42">
        <v>3.25</v>
      </c>
      <c r="AD274" s="42">
        <v>38.35</v>
      </c>
      <c r="AE274" s="42">
        <v>41.6</v>
      </c>
      <c r="AF274" s="42">
        <v>62.650000000000006</v>
      </c>
    </row>
    <row r="275" spans="1:32">
      <c r="A275" s="24" t="s">
        <v>249</v>
      </c>
      <c r="B275" s="23" t="s">
        <v>436</v>
      </c>
      <c r="C275" s="126" t="s">
        <v>408</v>
      </c>
      <c r="D275" s="23">
        <v>84.56</v>
      </c>
      <c r="E275" s="17">
        <v>25.5794</v>
      </c>
      <c r="F275" s="18">
        <v>184.48</v>
      </c>
      <c r="G275" s="17">
        <v>55.805199999999992</v>
      </c>
      <c r="H275" s="45">
        <v>33.57</v>
      </c>
      <c r="I275" s="45">
        <v>10.154925</v>
      </c>
      <c r="J275" s="45">
        <v>66.349999999999994</v>
      </c>
      <c r="K275" s="45">
        <v>20.070874999999997</v>
      </c>
      <c r="L275" s="45">
        <v>99.919999999999987</v>
      </c>
      <c r="M275" s="45">
        <v>30.225799999999996</v>
      </c>
      <c r="N275" s="23">
        <v>27.96</v>
      </c>
      <c r="O275" s="17">
        <v>8.4579000000000004</v>
      </c>
      <c r="P275" s="25"/>
      <c r="Q275" s="25"/>
      <c r="R275" s="25"/>
      <c r="S275" s="25">
        <v>22682474.034677774</v>
      </c>
      <c r="T275" s="25">
        <v>569610000</v>
      </c>
      <c r="U275" s="25">
        <v>696190000</v>
      </c>
      <c r="V275" s="25">
        <v>1265800000</v>
      </c>
      <c r="W275" s="38">
        <v>69619000</v>
      </c>
      <c r="X275" s="40">
        <v>1335419000</v>
      </c>
      <c r="Y275" s="39">
        <v>133541900</v>
      </c>
      <c r="Z275" s="25"/>
      <c r="AA275" s="13" t="s">
        <v>362</v>
      </c>
      <c r="AB275" s="42">
        <v>33.57</v>
      </c>
      <c r="AC275" s="42">
        <v>5.19</v>
      </c>
      <c r="AD275" s="42">
        <v>61.16</v>
      </c>
      <c r="AE275" s="42">
        <v>66.349999999999994</v>
      </c>
      <c r="AF275" s="42">
        <v>99.919999999999987</v>
      </c>
    </row>
    <row r="276" spans="1:32">
      <c r="A276" s="24" t="s">
        <v>250</v>
      </c>
      <c r="B276" s="23" t="s">
        <v>436</v>
      </c>
      <c r="C276" s="126" t="s">
        <v>408</v>
      </c>
      <c r="D276" s="34">
        <v>76.7</v>
      </c>
      <c r="E276" s="17">
        <v>23.201750000000001</v>
      </c>
      <c r="F276" s="18">
        <v>167.33999999999997</v>
      </c>
      <c r="G276" s="17">
        <v>50.620349999999988</v>
      </c>
      <c r="H276" s="45">
        <v>30.45</v>
      </c>
      <c r="I276" s="45">
        <v>9.2111249999999991</v>
      </c>
      <c r="J276" s="45">
        <v>60.19</v>
      </c>
      <c r="K276" s="45">
        <v>18.207474999999999</v>
      </c>
      <c r="L276" s="45">
        <v>90.639999999999986</v>
      </c>
      <c r="M276" s="45">
        <v>27.418599999999994</v>
      </c>
      <c r="N276" s="23">
        <v>25.36</v>
      </c>
      <c r="O276" s="17">
        <v>7.6713999999999993</v>
      </c>
      <c r="P276" s="25"/>
      <c r="Q276" s="25"/>
      <c r="R276" s="25"/>
      <c r="S276" s="25">
        <v>20539170.511464268</v>
      </c>
      <c r="T276" s="25">
        <v>467865000</v>
      </c>
      <c r="U276" s="25">
        <v>571835000</v>
      </c>
      <c r="V276" s="25">
        <v>1039700000</v>
      </c>
      <c r="W276" s="38">
        <v>57183500</v>
      </c>
      <c r="X276" s="40">
        <v>1096883500</v>
      </c>
      <c r="Y276" s="39">
        <v>109688350</v>
      </c>
      <c r="Z276" s="25"/>
      <c r="AA276" s="13" t="s">
        <v>362</v>
      </c>
      <c r="AB276" s="42">
        <v>30.45</v>
      </c>
      <c r="AC276" s="42">
        <v>4.71</v>
      </c>
      <c r="AD276" s="42">
        <v>55.48</v>
      </c>
      <c r="AE276" s="42">
        <v>60.19</v>
      </c>
      <c r="AF276" s="42">
        <v>90.639999999999986</v>
      </c>
    </row>
    <row r="277" spans="1:32">
      <c r="A277" s="24" t="s">
        <v>251</v>
      </c>
      <c r="B277" s="23" t="s">
        <v>436</v>
      </c>
      <c r="C277" s="126" t="s">
        <v>408</v>
      </c>
      <c r="D277" s="23">
        <v>81.69</v>
      </c>
      <c r="E277" s="17">
        <v>24.711224999999999</v>
      </c>
      <c r="F277" s="18">
        <v>178.22</v>
      </c>
      <c r="G277" s="17">
        <v>53.911549999999998</v>
      </c>
      <c r="H277" s="45">
        <v>32.43</v>
      </c>
      <c r="I277" s="45">
        <v>9.8100749999999994</v>
      </c>
      <c r="J277" s="45">
        <v>64.100000000000009</v>
      </c>
      <c r="K277" s="45">
        <v>19.390250000000002</v>
      </c>
      <c r="L277" s="45">
        <v>96.53</v>
      </c>
      <c r="M277" s="45">
        <v>29.200324999999999</v>
      </c>
      <c r="N277" s="23">
        <v>27.01</v>
      </c>
      <c r="O277" s="17">
        <v>8.1705249999999996</v>
      </c>
      <c r="P277" s="25"/>
      <c r="Q277" s="25"/>
      <c r="R277" s="25"/>
      <c r="S277" s="25">
        <v>22679741.168636408</v>
      </c>
      <c r="T277" s="25">
        <v>550215000</v>
      </c>
      <c r="U277" s="25">
        <v>672485000</v>
      </c>
      <c r="V277" s="25">
        <v>1222700000</v>
      </c>
      <c r="W277" s="38">
        <v>67248500</v>
      </c>
      <c r="X277" s="40">
        <v>1289948500</v>
      </c>
      <c r="Y277" s="39">
        <v>128994850</v>
      </c>
      <c r="Z277" s="25"/>
      <c r="AA277" s="13" t="s">
        <v>362</v>
      </c>
      <c r="AB277" s="42">
        <v>32.43</v>
      </c>
      <c r="AC277" s="42">
        <v>5.01</v>
      </c>
      <c r="AD277" s="42">
        <v>59.09</v>
      </c>
      <c r="AE277" s="42">
        <v>64.100000000000009</v>
      </c>
      <c r="AF277" s="42">
        <v>96.53</v>
      </c>
    </row>
    <row r="278" spans="1:32">
      <c r="A278" s="24" t="s">
        <v>252</v>
      </c>
      <c r="B278" s="23" t="s">
        <v>436</v>
      </c>
      <c r="C278" s="126" t="s">
        <v>408</v>
      </c>
      <c r="D278" s="23">
        <v>81.69</v>
      </c>
      <c r="E278" s="17">
        <v>24.711224999999999</v>
      </c>
      <c r="F278" s="18">
        <v>178.22</v>
      </c>
      <c r="G278" s="17">
        <v>53.911549999999998</v>
      </c>
      <c r="H278" s="45">
        <v>32.43</v>
      </c>
      <c r="I278" s="45">
        <v>9.8100749999999994</v>
      </c>
      <c r="J278" s="45">
        <v>64.100000000000009</v>
      </c>
      <c r="K278" s="45">
        <v>19.390250000000002</v>
      </c>
      <c r="L278" s="45">
        <v>96.53</v>
      </c>
      <c r="M278" s="45">
        <v>29.200324999999999</v>
      </c>
      <c r="N278" s="23">
        <v>27.01</v>
      </c>
      <c r="O278" s="17">
        <v>8.1705249999999996</v>
      </c>
      <c r="P278" s="25"/>
      <c r="Q278" s="25"/>
      <c r="R278" s="25"/>
      <c r="S278" s="25">
        <v>22679741.168636408</v>
      </c>
      <c r="T278" s="25">
        <v>550215000</v>
      </c>
      <c r="U278" s="25">
        <v>672485000</v>
      </c>
      <c r="V278" s="25">
        <v>1222700000</v>
      </c>
      <c r="W278" s="38">
        <v>67248500</v>
      </c>
      <c r="X278" s="40">
        <v>1289948500</v>
      </c>
      <c r="Y278" s="39">
        <v>128994850</v>
      </c>
      <c r="Z278" s="25"/>
      <c r="AA278" s="13" t="s">
        <v>362</v>
      </c>
      <c r="AB278" s="42">
        <v>32.43</v>
      </c>
      <c r="AC278" s="42">
        <v>5.01</v>
      </c>
      <c r="AD278" s="42">
        <v>59.09</v>
      </c>
      <c r="AE278" s="42">
        <v>64.100000000000009</v>
      </c>
      <c r="AF278" s="42">
        <v>96.53</v>
      </c>
    </row>
    <row r="279" spans="1:32">
      <c r="A279" s="24" t="s">
        <v>253</v>
      </c>
      <c r="B279" s="23" t="s">
        <v>436</v>
      </c>
      <c r="C279" s="126" t="s">
        <v>408</v>
      </c>
      <c r="D279" s="23">
        <v>81.69</v>
      </c>
      <c r="E279" s="17">
        <v>24.711224999999999</v>
      </c>
      <c r="F279" s="18">
        <v>178.22</v>
      </c>
      <c r="G279" s="17">
        <v>53.911549999999998</v>
      </c>
      <c r="H279" s="45">
        <v>32.43</v>
      </c>
      <c r="I279" s="45">
        <v>9.8100749999999994</v>
      </c>
      <c r="J279" s="45">
        <v>64.100000000000009</v>
      </c>
      <c r="K279" s="45">
        <v>19.390250000000002</v>
      </c>
      <c r="L279" s="45">
        <v>96.53</v>
      </c>
      <c r="M279" s="45">
        <v>29.200324999999999</v>
      </c>
      <c r="N279" s="23">
        <v>27.01</v>
      </c>
      <c r="O279" s="17">
        <v>8.1705249999999996</v>
      </c>
      <c r="P279" s="25"/>
      <c r="Q279" s="25"/>
      <c r="R279" s="25"/>
      <c r="S279" s="25">
        <v>22679741.168636408</v>
      </c>
      <c r="T279" s="25">
        <v>550215000</v>
      </c>
      <c r="U279" s="25">
        <v>672485000</v>
      </c>
      <c r="V279" s="25">
        <v>1222700000</v>
      </c>
      <c r="W279" s="38">
        <v>67248500</v>
      </c>
      <c r="X279" s="40">
        <v>1289948500</v>
      </c>
      <c r="Y279" s="39">
        <v>128994850</v>
      </c>
      <c r="Z279" s="25"/>
      <c r="AA279" s="13" t="s">
        <v>362</v>
      </c>
      <c r="AB279" s="42">
        <v>32.43</v>
      </c>
      <c r="AC279" s="42">
        <v>5.01</v>
      </c>
      <c r="AD279" s="42">
        <v>59.09</v>
      </c>
      <c r="AE279" s="42">
        <v>64.100000000000009</v>
      </c>
      <c r="AF279" s="42">
        <v>96.53</v>
      </c>
    </row>
    <row r="280" spans="1:32">
      <c r="A280" s="24" t="s">
        <v>254</v>
      </c>
      <c r="B280" s="23" t="s">
        <v>436</v>
      </c>
      <c r="C280" s="126" t="s">
        <v>408</v>
      </c>
      <c r="D280" s="23">
        <v>81.69</v>
      </c>
      <c r="E280" s="17">
        <v>24.711224999999999</v>
      </c>
      <c r="F280" s="18">
        <v>178.22</v>
      </c>
      <c r="G280" s="17">
        <v>53.911549999999998</v>
      </c>
      <c r="H280" s="45">
        <v>32.43</v>
      </c>
      <c r="I280" s="45">
        <v>9.8100749999999994</v>
      </c>
      <c r="J280" s="45">
        <v>64.100000000000009</v>
      </c>
      <c r="K280" s="45">
        <v>19.390250000000002</v>
      </c>
      <c r="L280" s="45">
        <v>96.53</v>
      </c>
      <c r="M280" s="45">
        <v>29.200324999999999</v>
      </c>
      <c r="N280" s="23">
        <v>27.01</v>
      </c>
      <c r="O280" s="17">
        <v>8.1705249999999996</v>
      </c>
      <c r="P280" s="25"/>
      <c r="Q280" s="25"/>
      <c r="R280" s="25"/>
      <c r="S280" s="25">
        <v>22679741.168636408</v>
      </c>
      <c r="T280" s="25">
        <v>550215000</v>
      </c>
      <c r="U280" s="25">
        <v>672485000</v>
      </c>
      <c r="V280" s="25">
        <v>1222700000</v>
      </c>
      <c r="W280" s="38">
        <v>67248500</v>
      </c>
      <c r="X280" s="40">
        <v>1289948500</v>
      </c>
      <c r="Y280" s="39">
        <v>128994850</v>
      </c>
      <c r="Z280" s="25"/>
      <c r="AA280" s="13" t="s">
        <v>362</v>
      </c>
      <c r="AB280" s="42">
        <v>32.43</v>
      </c>
      <c r="AC280" s="42">
        <v>5.01</v>
      </c>
      <c r="AD280" s="42">
        <v>59.09</v>
      </c>
      <c r="AE280" s="42">
        <v>64.100000000000009</v>
      </c>
      <c r="AF280" s="42">
        <v>96.53</v>
      </c>
    </row>
    <row r="281" spans="1:32">
      <c r="A281" s="24" t="s">
        <v>255</v>
      </c>
      <c r="B281" s="23" t="s">
        <v>436</v>
      </c>
      <c r="C281" s="126" t="s">
        <v>408</v>
      </c>
      <c r="D281" s="23">
        <v>66.97</v>
      </c>
      <c r="E281" s="17">
        <v>20.258424999999999</v>
      </c>
      <c r="F281" s="18">
        <v>146.11000000000001</v>
      </c>
      <c r="G281" s="17">
        <v>44.198275000000002</v>
      </c>
      <c r="H281" s="45">
        <v>26.59</v>
      </c>
      <c r="I281" s="45">
        <v>8.043474999999999</v>
      </c>
      <c r="J281" s="45">
        <v>52.55</v>
      </c>
      <c r="K281" s="45">
        <v>15.896374999999999</v>
      </c>
      <c r="L281" s="45">
        <v>79.14</v>
      </c>
      <c r="M281" s="45">
        <v>23.93985</v>
      </c>
      <c r="N281" s="23">
        <v>22.15</v>
      </c>
      <c r="O281" s="17">
        <v>6.7003749999999993</v>
      </c>
      <c r="P281" s="25"/>
      <c r="Q281" s="25"/>
      <c r="R281" s="25"/>
      <c r="S281" s="25">
        <v>20537000.595611479</v>
      </c>
      <c r="T281" s="25">
        <v>408465000</v>
      </c>
      <c r="U281" s="25">
        <v>499235000.00000006</v>
      </c>
      <c r="V281" s="25">
        <v>907700000</v>
      </c>
      <c r="W281" s="38">
        <v>49923500.000000007</v>
      </c>
      <c r="X281" s="40">
        <v>957623500</v>
      </c>
      <c r="Y281" s="39">
        <v>95762350</v>
      </c>
      <c r="Z281" s="25"/>
      <c r="AA281" s="13" t="s">
        <v>362</v>
      </c>
      <c r="AB281" s="42">
        <v>26.59</v>
      </c>
      <c r="AC281" s="42">
        <v>4.1100000000000003</v>
      </c>
      <c r="AD281" s="42">
        <v>48.44</v>
      </c>
      <c r="AE281" s="42">
        <v>52.55</v>
      </c>
      <c r="AF281" s="42">
        <v>79.14</v>
      </c>
    </row>
    <row r="282" spans="1:32">
      <c r="A282" s="24" t="s">
        <v>256</v>
      </c>
      <c r="B282" s="23" t="s">
        <v>436</v>
      </c>
      <c r="C282" s="126" t="s">
        <v>408</v>
      </c>
      <c r="D282" s="23">
        <v>81.69</v>
      </c>
      <c r="E282" s="17">
        <v>24.711224999999999</v>
      </c>
      <c r="F282" s="18">
        <v>178.22</v>
      </c>
      <c r="G282" s="17">
        <v>53.911549999999998</v>
      </c>
      <c r="H282" s="45">
        <v>32.43</v>
      </c>
      <c r="I282" s="45">
        <v>9.8100749999999994</v>
      </c>
      <c r="J282" s="45">
        <v>64.100000000000009</v>
      </c>
      <c r="K282" s="45">
        <v>19.390250000000002</v>
      </c>
      <c r="L282" s="45">
        <v>96.53</v>
      </c>
      <c r="M282" s="45">
        <v>29.200324999999999</v>
      </c>
      <c r="N282" s="23">
        <v>27.01</v>
      </c>
      <c r="O282" s="17">
        <v>8.1705249999999996</v>
      </c>
      <c r="P282" s="25"/>
      <c r="Q282" s="25"/>
      <c r="R282" s="25"/>
      <c r="S282" s="25">
        <v>22679741.168636408</v>
      </c>
      <c r="T282" s="25">
        <v>550215000</v>
      </c>
      <c r="U282" s="25">
        <v>672485000</v>
      </c>
      <c r="V282" s="25">
        <v>1222700000</v>
      </c>
      <c r="W282" s="38">
        <v>67248500</v>
      </c>
      <c r="X282" s="40">
        <v>1289948500</v>
      </c>
      <c r="Y282" s="39">
        <v>128994850</v>
      </c>
      <c r="Z282" s="25"/>
      <c r="AA282" s="13" t="s">
        <v>362</v>
      </c>
      <c r="AB282" s="42">
        <v>32.43</v>
      </c>
      <c r="AC282" s="42">
        <v>5.01</v>
      </c>
      <c r="AD282" s="42">
        <v>59.09</v>
      </c>
      <c r="AE282" s="42">
        <v>64.100000000000009</v>
      </c>
      <c r="AF282" s="42">
        <v>96.53</v>
      </c>
    </row>
    <row r="283" spans="1:32">
      <c r="A283" s="24" t="s">
        <v>257</v>
      </c>
      <c r="B283" s="23" t="s">
        <v>436</v>
      </c>
      <c r="C283" s="126" t="s">
        <v>408</v>
      </c>
      <c r="D283" s="23">
        <v>81.69</v>
      </c>
      <c r="E283" s="17">
        <v>24.711224999999999</v>
      </c>
      <c r="F283" s="18">
        <v>178.22</v>
      </c>
      <c r="G283" s="17">
        <v>53.911549999999998</v>
      </c>
      <c r="H283" s="45">
        <v>32.43</v>
      </c>
      <c r="I283" s="45">
        <v>9.8100749999999994</v>
      </c>
      <c r="J283" s="45">
        <v>64.100000000000009</v>
      </c>
      <c r="K283" s="45">
        <v>19.390250000000002</v>
      </c>
      <c r="L283" s="45">
        <v>96.53</v>
      </c>
      <c r="M283" s="45">
        <v>29.200324999999999</v>
      </c>
      <c r="N283" s="23">
        <v>27.01</v>
      </c>
      <c r="O283" s="17">
        <v>8.1705249999999996</v>
      </c>
      <c r="P283" s="25"/>
      <c r="Q283" s="25"/>
      <c r="R283" s="25"/>
      <c r="S283" s="25">
        <v>22679741.168636408</v>
      </c>
      <c r="T283" s="25">
        <v>550215000</v>
      </c>
      <c r="U283" s="25">
        <v>672485000</v>
      </c>
      <c r="V283" s="25">
        <v>1222700000</v>
      </c>
      <c r="W283" s="38">
        <v>67248500</v>
      </c>
      <c r="X283" s="40">
        <v>1289948500</v>
      </c>
      <c r="Y283" s="39">
        <v>128994850</v>
      </c>
      <c r="Z283" s="25"/>
      <c r="AA283" s="13" t="s">
        <v>362</v>
      </c>
      <c r="AB283" s="42">
        <v>32.43</v>
      </c>
      <c r="AC283" s="42">
        <v>5.01</v>
      </c>
      <c r="AD283" s="42">
        <v>59.09</v>
      </c>
      <c r="AE283" s="42">
        <v>64.100000000000009</v>
      </c>
      <c r="AF283" s="42">
        <v>96.53</v>
      </c>
    </row>
    <row r="284" spans="1:32">
      <c r="A284" s="24" t="s">
        <v>258</v>
      </c>
      <c r="B284" s="23" t="s">
        <v>436</v>
      </c>
      <c r="C284" s="126" t="s">
        <v>408</v>
      </c>
      <c r="D284" s="23">
        <v>119.62</v>
      </c>
      <c r="E284" s="17">
        <v>36.185049999999997</v>
      </c>
      <c r="F284" s="18">
        <v>260.97000000000003</v>
      </c>
      <c r="G284" s="17">
        <v>78.943425000000005</v>
      </c>
      <c r="H284" s="45">
        <v>47.49</v>
      </c>
      <c r="I284" s="45">
        <v>14.365724999999999</v>
      </c>
      <c r="J284" s="45">
        <v>93.86</v>
      </c>
      <c r="K284" s="45">
        <v>28.39265</v>
      </c>
      <c r="L284" s="45">
        <v>141.35</v>
      </c>
      <c r="M284" s="45">
        <v>42.758374999999994</v>
      </c>
      <c r="N284" s="23">
        <v>39.56</v>
      </c>
      <c r="O284" s="17">
        <v>11.966900000000001</v>
      </c>
      <c r="P284" s="25"/>
      <c r="Q284" s="25"/>
      <c r="R284" s="25"/>
      <c r="S284" s="25">
        <v>22683333.032484971</v>
      </c>
      <c r="T284" s="25">
        <v>805815000</v>
      </c>
      <c r="U284" s="25">
        <v>984885000.00000012</v>
      </c>
      <c r="V284" s="25">
        <v>1790700000</v>
      </c>
      <c r="W284" s="38">
        <v>98488500.000000015</v>
      </c>
      <c r="X284" s="40">
        <v>1889188500</v>
      </c>
      <c r="Y284" s="39">
        <v>188918850</v>
      </c>
      <c r="Z284" s="25"/>
      <c r="AA284" s="13" t="s">
        <v>362</v>
      </c>
      <c r="AB284" s="42">
        <v>47.49</v>
      </c>
      <c r="AC284" s="42">
        <v>7.34</v>
      </c>
      <c r="AD284" s="42">
        <v>86.52</v>
      </c>
      <c r="AE284" s="42">
        <v>93.86</v>
      </c>
      <c r="AF284" s="42">
        <v>141.35</v>
      </c>
    </row>
    <row r="285" spans="1:32">
      <c r="A285" s="24" t="s">
        <v>259</v>
      </c>
      <c r="B285" s="23" t="s">
        <v>436</v>
      </c>
      <c r="C285" s="126" t="s">
        <v>408</v>
      </c>
      <c r="D285" s="34">
        <v>109.6</v>
      </c>
      <c r="E285" s="17">
        <v>33.153999999999996</v>
      </c>
      <c r="F285" s="18">
        <v>239.10999999999999</v>
      </c>
      <c r="G285" s="17">
        <v>72.330774999999988</v>
      </c>
      <c r="H285" s="45">
        <v>43.51</v>
      </c>
      <c r="I285" s="45">
        <v>13.161774999999999</v>
      </c>
      <c r="J285" s="45">
        <v>86</v>
      </c>
      <c r="K285" s="45">
        <v>26.015000000000001</v>
      </c>
      <c r="L285" s="45">
        <v>129.51</v>
      </c>
      <c r="M285" s="45">
        <v>39.176774999999999</v>
      </c>
      <c r="N285" s="23">
        <v>36.24</v>
      </c>
      <c r="O285" s="17">
        <v>10.9626</v>
      </c>
      <c r="P285" s="25"/>
      <c r="Q285" s="25"/>
      <c r="R285" s="25"/>
      <c r="S285" s="25">
        <v>22683290.756942675</v>
      </c>
      <c r="T285" s="25">
        <v>738315000</v>
      </c>
      <c r="U285" s="25">
        <v>902385000.00000012</v>
      </c>
      <c r="V285" s="25">
        <v>1640700000</v>
      </c>
      <c r="W285" s="38">
        <v>90238500.000000015</v>
      </c>
      <c r="X285" s="40">
        <v>1730938500</v>
      </c>
      <c r="Y285" s="39">
        <v>173093850</v>
      </c>
      <c r="Z285" s="25"/>
      <c r="AA285" s="13" t="s">
        <v>362</v>
      </c>
      <c r="AB285" s="42">
        <v>43.51</v>
      </c>
      <c r="AC285" s="42">
        <v>6.72</v>
      </c>
      <c r="AD285" s="42">
        <v>79.28</v>
      </c>
      <c r="AE285" s="42">
        <v>86</v>
      </c>
      <c r="AF285" s="42">
        <v>129.51</v>
      </c>
    </row>
    <row r="286" spans="1:32">
      <c r="A286" s="24" t="s">
        <v>260</v>
      </c>
      <c r="B286" s="23" t="s">
        <v>436</v>
      </c>
      <c r="C286" s="126" t="s">
        <v>408</v>
      </c>
      <c r="D286" s="23">
        <v>119.62</v>
      </c>
      <c r="E286" s="17">
        <v>36.185049999999997</v>
      </c>
      <c r="F286" s="18">
        <v>260.97000000000003</v>
      </c>
      <c r="G286" s="17">
        <v>78.943425000000005</v>
      </c>
      <c r="H286" s="45">
        <v>47.49</v>
      </c>
      <c r="I286" s="45">
        <v>14.365724999999999</v>
      </c>
      <c r="J286" s="45">
        <v>93.86</v>
      </c>
      <c r="K286" s="45">
        <v>28.39265</v>
      </c>
      <c r="L286" s="45">
        <v>141.35</v>
      </c>
      <c r="M286" s="45">
        <v>42.758374999999994</v>
      </c>
      <c r="N286" s="23">
        <v>39.56</v>
      </c>
      <c r="O286" s="17">
        <v>11.966900000000001</v>
      </c>
      <c r="P286" s="25"/>
      <c r="Q286" s="25"/>
      <c r="R286" s="25"/>
      <c r="S286" s="25">
        <v>22683333.032484971</v>
      </c>
      <c r="T286" s="25">
        <v>805815000</v>
      </c>
      <c r="U286" s="25">
        <v>984885000.00000012</v>
      </c>
      <c r="V286" s="25">
        <v>1790700000</v>
      </c>
      <c r="W286" s="38">
        <v>98488500.000000015</v>
      </c>
      <c r="X286" s="40">
        <v>1889188500</v>
      </c>
      <c r="Y286" s="39">
        <v>188918850</v>
      </c>
      <c r="Z286" s="25"/>
      <c r="AA286" s="13" t="s">
        <v>362</v>
      </c>
      <c r="AB286" s="42">
        <v>47.49</v>
      </c>
      <c r="AC286" s="42">
        <v>7.34</v>
      </c>
      <c r="AD286" s="42">
        <v>86.52</v>
      </c>
      <c r="AE286" s="42">
        <v>93.86</v>
      </c>
      <c r="AF286" s="42">
        <v>141.35</v>
      </c>
    </row>
    <row r="287" spans="1:32">
      <c r="A287" s="24" t="s">
        <v>261</v>
      </c>
      <c r="B287" s="23" t="s">
        <v>436</v>
      </c>
      <c r="C287" s="126" t="s">
        <v>408</v>
      </c>
      <c r="D287" s="23">
        <v>81.69</v>
      </c>
      <c r="E287" s="17">
        <v>24.711224999999999</v>
      </c>
      <c r="F287" s="18">
        <v>178.22</v>
      </c>
      <c r="G287" s="17">
        <v>53.911549999999998</v>
      </c>
      <c r="H287" s="45">
        <v>32.43</v>
      </c>
      <c r="I287" s="45">
        <v>9.8100749999999994</v>
      </c>
      <c r="J287" s="45">
        <v>64.100000000000009</v>
      </c>
      <c r="K287" s="45">
        <v>19.390250000000002</v>
      </c>
      <c r="L287" s="45">
        <v>96.53</v>
      </c>
      <c r="M287" s="45">
        <v>29.200324999999999</v>
      </c>
      <c r="N287" s="23">
        <v>27.01</v>
      </c>
      <c r="O287" s="17">
        <v>8.1705249999999996</v>
      </c>
      <c r="P287" s="25"/>
      <c r="Q287" s="25"/>
      <c r="R287" s="25"/>
      <c r="S287" s="25">
        <v>22679741.168636408</v>
      </c>
      <c r="T287" s="25">
        <v>550215000</v>
      </c>
      <c r="U287" s="25">
        <v>672485000</v>
      </c>
      <c r="V287" s="25">
        <v>1222700000</v>
      </c>
      <c r="W287" s="38">
        <v>67248500</v>
      </c>
      <c r="X287" s="40">
        <v>1289948500</v>
      </c>
      <c r="Y287" s="39">
        <v>128994850</v>
      </c>
      <c r="Z287" s="25"/>
      <c r="AA287" s="13" t="s">
        <v>362</v>
      </c>
      <c r="AB287" s="42">
        <v>32.43</v>
      </c>
      <c r="AC287" s="42">
        <v>5.01</v>
      </c>
      <c r="AD287" s="42">
        <v>59.09</v>
      </c>
      <c r="AE287" s="42">
        <v>64.100000000000009</v>
      </c>
      <c r="AF287" s="42">
        <v>96.53</v>
      </c>
    </row>
    <row r="288" spans="1:32">
      <c r="A288" s="24" t="s">
        <v>262</v>
      </c>
      <c r="B288" s="23" t="s">
        <v>436</v>
      </c>
      <c r="C288" s="126" t="s">
        <v>408</v>
      </c>
      <c r="D288" s="23">
        <v>81.69</v>
      </c>
      <c r="E288" s="17">
        <v>24.711224999999999</v>
      </c>
      <c r="F288" s="18">
        <v>178.22</v>
      </c>
      <c r="G288" s="17">
        <v>53.911549999999998</v>
      </c>
      <c r="H288" s="45">
        <v>32.43</v>
      </c>
      <c r="I288" s="45">
        <v>9.8100749999999994</v>
      </c>
      <c r="J288" s="45">
        <v>64.100000000000009</v>
      </c>
      <c r="K288" s="45">
        <v>19.390250000000002</v>
      </c>
      <c r="L288" s="45">
        <v>96.53</v>
      </c>
      <c r="M288" s="45">
        <v>29.200324999999999</v>
      </c>
      <c r="N288" s="23">
        <v>27.01</v>
      </c>
      <c r="O288" s="17">
        <v>8.1705249999999996</v>
      </c>
      <c r="P288" s="25"/>
      <c r="Q288" s="25"/>
      <c r="R288" s="25"/>
      <c r="S288" s="25">
        <v>22679741.168636408</v>
      </c>
      <c r="T288" s="25">
        <v>550215000</v>
      </c>
      <c r="U288" s="25">
        <v>672485000</v>
      </c>
      <c r="V288" s="25">
        <v>1222700000</v>
      </c>
      <c r="W288" s="38">
        <v>67248500</v>
      </c>
      <c r="X288" s="40">
        <v>1289948500</v>
      </c>
      <c r="Y288" s="39">
        <v>128994850</v>
      </c>
      <c r="Z288" s="25"/>
      <c r="AA288" s="13" t="s">
        <v>362</v>
      </c>
      <c r="AB288" s="42">
        <v>32.43</v>
      </c>
      <c r="AC288" s="42">
        <v>5.01</v>
      </c>
      <c r="AD288" s="42">
        <v>59.09</v>
      </c>
      <c r="AE288" s="42">
        <v>64.100000000000009</v>
      </c>
      <c r="AF288" s="42">
        <v>96.53</v>
      </c>
    </row>
    <row r="289" spans="1:32">
      <c r="A289" s="24" t="s">
        <v>263</v>
      </c>
      <c r="B289" s="23" t="s">
        <v>436</v>
      </c>
      <c r="C289" s="126" t="s">
        <v>408</v>
      </c>
      <c r="D289" s="23">
        <v>81.69</v>
      </c>
      <c r="E289" s="17">
        <v>24.711224999999999</v>
      </c>
      <c r="F289" s="18">
        <v>178.22</v>
      </c>
      <c r="G289" s="17">
        <v>53.911549999999998</v>
      </c>
      <c r="H289" s="45">
        <v>32.43</v>
      </c>
      <c r="I289" s="45">
        <v>9.8100749999999994</v>
      </c>
      <c r="J289" s="45">
        <v>64.100000000000009</v>
      </c>
      <c r="K289" s="45">
        <v>19.390250000000002</v>
      </c>
      <c r="L289" s="45">
        <v>96.53</v>
      </c>
      <c r="M289" s="45">
        <v>29.200324999999999</v>
      </c>
      <c r="N289" s="23">
        <v>27.01</v>
      </c>
      <c r="O289" s="17">
        <v>8.1705249999999996</v>
      </c>
      <c r="P289" s="25"/>
      <c r="Q289" s="25"/>
      <c r="R289" s="25"/>
      <c r="S289" s="25">
        <v>22679741.168636408</v>
      </c>
      <c r="T289" s="25">
        <v>550215000</v>
      </c>
      <c r="U289" s="25">
        <v>672485000</v>
      </c>
      <c r="V289" s="25">
        <v>1222700000</v>
      </c>
      <c r="W289" s="38">
        <v>67248500</v>
      </c>
      <c r="X289" s="40">
        <v>1289948500</v>
      </c>
      <c r="Y289" s="39">
        <v>128994850</v>
      </c>
      <c r="Z289" s="25"/>
      <c r="AA289" s="13" t="s">
        <v>362</v>
      </c>
      <c r="AB289" s="42">
        <v>32.43</v>
      </c>
      <c r="AC289" s="42">
        <v>5.01</v>
      </c>
      <c r="AD289" s="42">
        <v>59.09</v>
      </c>
      <c r="AE289" s="42">
        <v>64.100000000000009</v>
      </c>
      <c r="AF289" s="42">
        <v>96.53</v>
      </c>
    </row>
    <row r="290" spans="1:32">
      <c r="A290" s="24" t="s">
        <v>264</v>
      </c>
      <c r="B290" s="23" t="s">
        <v>436</v>
      </c>
      <c r="C290" s="126" t="s">
        <v>408</v>
      </c>
      <c r="D290" s="23">
        <v>81.69</v>
      </c>
      <c r="E290" s="17">
        <v>24.711224999999999</v>
      </c>
      <c r="F290" s="18">
        <v>178.22</v>
      </c>
      <c r="G290" s="17">
        <v>53.911549999999998</v>
      </c>
      <c r="H290" s="45">
        <v>32.43</v>
      </c>
      <c r="I290" s="45">
        <v>9.8100749999999994</v>
      </c>
      <c r="J290" s="45">
        <v>64.100000000000009</v>
      </c>
      <c r="K290" s="45">
        <v>19.390250000000002</v>
      </c>
      <c r="L290" s="45">
        <v>96.53</v>
      </c>
      <c r="M290" s="45">
        <v>29.200324999999999</v>
      </c>
      <c r="N290" s="23">
        <v>27.01</v>
      </c>
      <c r="O290" s="17">
        <v>8.1705249999999996</v>
      </c>
      <c r="P290" s="25"/>
      <c r="Q290" s="25"/>
      <c r="R290" s="25"/>
      <c r="S290" s="25">
        <v>22679741.168636408</v>
      </c>
      <c r="T290" s="25">
        <v>550215000</v>
      </c>
      <c r="U290" s="25">
        <v>672485000</v>
      </c>
      <c r="V290" s="25">
        <v>1222700000</v>
      </c>
      <c r="W290" s="38">
        <v>67248500</v>
      </c>
      <c r="X290" s="40">
        <v>1289948500</v>
      </c>
      <c r="Y290" s="39">
        <v>128994850</v>
      </c>
      <c r="Z290" s="25"/>
      <c r="AA290" s="13" t="s">
        <v>362</v>
      </c>
      <c r="AB290" s="42">
        <v>32.43</v>
      </c>
      <c r="AC290" s="42">
        <v>5.01</v>
      </c>
      <c r="AD290" s="42">
        <v>59.09</v>
      </c>
      <c r="AE290" s="42">
        <v>64.100000000000009</v>
      </c>
      <c r="AF290" s="42">
        <v>96.53</v>
      </c>
    </row>
    <row r="291" spans="1:32">
      <c r="A291" s="24" t="s">
        <v>265</v>
      </c>
      <c r="B291" s="23" t="s">
        <v>436</v>
      </c>
      <c r="C291" s="126" t="s">
        <v>408</v>
      </c>
      <c r="D291" s="23">
        <v>81.69</v>
      </c>
      <c r="E291" s="17">
        <v>24.711224999999999</v>
      </c>
      <c r="F291" s="18">
        <v>178.22</v>
      </c>
      <c r="G291" s="17">
        <v>53.911549999999998</v>
      </c>
      <c r="H291" s="45">
        <v>32.43</v>
      </c>
      <c r="I291" s="45">
        <v>9.8100749999999994</v>
      </c>
      <c r="J291" s="45">
        <v>64.100000000000009</v>
      </c>
      <c r="K291" s="45">
        <v>19.390250000000002</v>
      </c>
      <c r="L291" s="45">
        <v>96.53</v>
      </c>
      <c r="M291" s="45">
        <v>29.200324999999999</v>
      </c>
      <c r="N291" s="23">
        <v>27.01</v>
      </c>
      <c r="O291" s="17">
        <v>8.1705249999999996</v>
      </c>
      <c r="P291" s="25"/>
      <c r="Q291" s="25"/>
      <c r="R291" s="25"/>
      <c r="S291" s="25">
        <v>22679741.168636408</v>
      </c>
      <c r="T291" s="25">
        <v>550215000</v>
      </c>
      <c r="U291" s="25">
        <v>672485000</v>
      </c>
      <c r="V291" s="25">
        <v>1222700000</v>
      </c>
      <c r="W291" s="38">
        <v>67248500</v>
      </c>
      <c r="X291" s="40">
        <v>1289948500</v>
      </c>
      <c r="Y291" s="39">
        <v>128994850</v>
      </c>
      <c r="Z291" s="25"/>
      <c r="AA291" s="13" t="s">
        <v>362</v>
      </c>
      <c r="AB291" s="42">
        <v>32.43</v>
      </c>
      <c r="AC291" s="42">
        <v>5.01</v>
      </c>
      <c r="AD291" s="42">
        <v>59.09</v>
      </c>
      <c r="AE291" s="42">
        <v>64.100000000000009</v>
      </c>
      <c r="AF291" s="42">
        <v>96.53</v>
      </c>
    </row>
    <row r="292" spans="1:32">
      <c r="A292" s="24" t="s">
        <v>266</v>
      </c>
      <c r="B292" s="23" t="s">
        <v>436</v>
      </c>
      <c r="C292" s="126" t="s">
        <v>408</v>
      </c>
      <c r="D292" s="23">
        <v>102.11</v>
      </c>
      <c r="E292" s="17">
        <v>30.888275</v>
      </c>
      <c r="F292" s="18">
        <v>222.76999999999998</v>
      </c>
      <c r="G292" s="17">
        <v>67.387924999999996</v>
      </c>
      <c r="H292" s="45">
        <v>40.54</v>
      </c>
      <c r="I292" s="45">
        <v>12.263349999999999</v>
      </c>
      <c r="J292" s="45">
        <v>80.12</v>
      </c>
      <c r="K292" s="45">
        <v>24.2363</v>
      </c>
      <c r="L292" s="45">
        <v>120.66</v>
      </c>
      <c r="M292" s="45">
        <v>36.499649999999995</v>
      </c>
      <c r="N292" s="23">
        <v>33.770000000000003</v>
      </c>
      <c r="O292" s="17">
        <v>10.215425000000002</v>
      </c>
      <c r="P292" s="25"/>
      <c r="Q292" s="25"/>
      <c r="R292" s="25"/>
      <c r="S292" s="25">
        <v>22682105.139756121</v>
      </c>
      <c r="T292" s="25">
        <v>687825000</v>
      </c>
      <c r="U292" s="25">
        <v>840675000.00000012</v>
      </c>
      <c r="V292" s="25">
        <v>1528500000</v>
      </c>
      <c r="W292" s="38">
        <v>84067500.000000015</v>
      </c>
      <c r="X292" s="40">
        <v>1612567500</v>
      </c>
      <c r="Y292" s="39">
        <v>161256750</v>
      </c>
      <c r="Z292" s="25"/>
      <c r="AA292" s="13" t="s">
        <v>362</v>
      </c>
      <c r="AB292" s="42">
        <v>40.54</v>
      </c>
      <c r="AC292" s="42">
        <v>6.26</v>
      </c>
      <c r="AD292" s="42">
        <v>73.86</v>
      </c>
      <c r="AE292" s="42">
        <v>80.12</v>
      </c>
      <c r="AF292" s="42">
        <v>120.66</v>
      </c>
    </row>
    <row r="293" spans="1:32">
      <c r="A293" s="24" t="s">
        <v>267</v>
      </c>
      <c r="B293" s="23" t="s">
        <v>436</v>
      </c>
      <c r="C293" s="126" t="s">
        <v>408</v>
      </c>
      <c r="D293" s="23">
        <v>107.41</v>
      </c>
      <c r="E293" s="17">
        <v>32.491524999999996</v>
      </c>
      <c r="F293" s="18">
        <v>234.33999999999997</v>
      </c>
      <c r="G293" s="17">
        <v>70.887849999999986</v>
      </c>
      <c r="H293" s="45">
        <v>42.65</v>
      </c>
      <c r="I293" s="45">
        <v>12.901624999999999</v>
      </c>
      <c r="J293" s="45">
        <v>84.28</v>
      </c>
      <c r="K293" s="45">
        <v>25.494699999999998</v>
      </c>
      <c r="L293" s="45">
        <v>126.92999999999999</v>
      </c>
      <c r="M293" s="45">
        <v>38.396324999999997</v>
      </c>
      <c r="N293" s="23">
        <v>35.520000000000003</v>
      </c>
      <c r="O293" s="17">
        <v>10.744800000000001</v>
      </c>
      <c r="P293" s="25"/>
      <c r="Q293" s="25"/>
      <c r="R293" s="25"/>
      <c r="S293" s="25">
        <v>22679485.976792924</v>
      </c>
      <c r="T293" s="25">
        <v>723465000</v>
      </c>
      <c r="U293" s="25">
        <v>884235000.00000012</v>
      </c>
      <c r="V293" s="25">
        <v>1607700000</v>
      </c>
      <c r="W293" s="38">
        <v>88423500.000000015</v>
      </c>
      <c r="X293" s="40">
        <v>1696123500</v>
      </c>
      <c r="Y293" s="39">
        <v>169612350</v>
      </c>
      <c r="Z293" s="25"/>
      <c r="AA293" s="13" t="s">
        <v>362</v>
      </c>
      <c r="AB293" s="42">
        <v>42.65</v>
      </c>
      <c r="AC293" s="42">
        <v>6.59</v>
      </c>
      <c r="AD293" s="42">
        <v>77.69</v>
      </c>
      <c r="AE293" s="42">
        <v>84.28</v>
      </c>
      <c r="AF293" s="42">
        <v>126.92999999999999</v>
      </c>
    </row>
    <row r="294" spans="1:32" s="92" customFormat="1">
      <c r="A294" s="84"/>
      <c r="B294" s="84"/>
      <c r="C294" s="127" t="s">
        <v>476</v>
      </c>
      <c r="D294" s="84">
        <v>783.3</v>
      </c>
      <c r="E294" s="85">
        <v>236.94824999999997</v>
      </c>
      <c r="F294" s="73">
        <v>1816.95</v>
      </c>
      <c r="G294" s="85">
        <v>549.62737500000003</v>
      </c>
      <c r="H294" s="74">
        <v>419.02</v>
      </c>
      <c r="I294" s="74">
        <v>126.75354999999999</v>
      </c>
      <c r="J294" s="74">
        <v>614.63000000000011</v>
      </c>
      <c r="K294" s="74">
        <v>185.92557500000004</v>
      </c>
      <c r="L294" s="74">
        <v>1033.6500000000001</v>
      </c>
      <c r="M294" s="74">
        <v>312.679125</v>
      </c>
      <c r="N294" s="84">
        <v>259.02</v>
      </c>
      <c r="O294" s="85">
        <v>78.353549999999998</v>
      </c>
      <c r="P294" s="37"/>
      <c r="Q294" s="37"/>
      <c r="R294" s="37"/>
      <c r="S294" s="86">
        <v>10000000</v>
      </c>
      <c r="T294" s="86">
        <v>2473322850</v>
      </c>
      <c r="U294" s="86">
        <v>3022950150.0000005</v>
      </c>
      <c r="V294" s="86">
        <v>5496273000</v>
      </c>
      <c r="W294" s="87">
        <v>302295015.00000006</v>
      </c>
      <c r="X294" s="88">
        <v>5798568015</v>
      </c>
      <c r="Y294" s="89">
        <v>579856801.5</v>
      </c>
      <c r="Z294" s="37"/>
      <c r="AA294" s="90"/>
      <c r="AB294" s="91">
        <v>419.02</v>
      </c>
      <c r="AC294" s="91">
        <v>48.06</v>
      </c>
      <c r="AD294" s="91">
        <v>566.57000000000005</v>
      </c>
      <c r="AE294" s="91">
        <v>614.63000000000011</v>
      </c>
      <c r="AF294" s="91">
        <v>1033.6500000000001</v>
      </c>
    </row>
    <row r="295" spans="1:32" s="92" customFormat="1">
      <c r="A295" s="84"/>
      <c r="B295" s="84"/>
      <c r="C295" s="127" t="s">
        <v>476</v>
      </c>
      <c r="D295" s="84">
        <v>48.51</v>
      </c>
      <c r="E295" s="85">
        <v>14.674275</v>
      </c>
      <c r="F295" s="73">
        <v>112.53</v>
      </c>
      <c r="G295" s="85">
        <v>34.040325000000003</v>
      </c>
      <c r="H295" s="74">
        <v>25.95</v>
      </c>
      <c r="I295" s="74">
        <v>7.8498749999999999</v>
      </c>
      <c r="J295" s="74">
        <v>38.07</v>
      </c>
      <c r="K295" s="74">
        <v>11.516175</v>
      </c>
      <c r="L295" s="74">
        <v>64.02</v>
      </c>
      <c r="M295" s="74">
        <v>19.366049999999998</v>
      </c>
      <c r="N295" s="84">
        <v>16.04</v>
      </c>
      <c r="O295" s="85">
        <v>4.8520999999999992</v>
      </c>
      <c r="P295" s="37"/>
      <c r="Q295" s="37"/>
      <c r="R295" s="37"/>
      <c r="S295" s="86">
        <v>10000000</v>
      </c>
      <c r="T295" s="86">
        <v>153181350</v>
      </c>
      <c r="U295" s="86">
        <v>187221650.00000003</v>
      </c>
      <c r="V295" s="86">
        <v>340403000</v>
      </c>
      <c r="W295" s="87">
        <v>18722165.000000004</v>
      </c>
      <c r="X295" s="88">
        <v>359125165</v>
      </c>
      <c r="Y295" s="89">
        <v>35912516.5</v>
      </c>
      <c r="Z295" s="37"/>
      <c r="AA295" s="90"/>
      <c r="AB295" s="91">
        <v>25.95</v>
      </c>
      <c r="AC295" s="91">
        <v>2.98</v>
      </c>
      <c r="AD295" s="91">
        <v>35.090000000000003</v>
      </c>
      <c r="AE295" s="91">
        <v>38.07</v>
      </c>
      <c r="AF295" s="91">
        <v>64.02</v>
      </c>
    </row>
    <row r="296" spans="1:32" s="92" customFormat="1">
      <c r="A296" s="84"/>
      <c r="B296" s="84"/>
      <c r="C296" s="127" t="s">
        <v>476</v>
      </c>
      <c r="D296" s="84">
        <v>332.39</v>
      </c>
      <c r="E296" s="85">
        <v>100.54797499999999</v>
      </c>
      <c r="F296" s="73">
        <v>771.01</v>
      </c>
      <c r="G296" s="85">
        <v>233.230525</v>
      </c>
      <c r="H296" s="74">
        <v>177.81</v>
      </c>
      <c r="I296" s="74">
        <v>53.787525000000002</v>
      </c>
      <c r="J296" s="74">
        <v>260.81</v>
      </c>
      <c r="K296" s="74">
        <v>78.895025000000004</v>
      </c>
      <c r="L296" s="74">
        <v>438.62</v>
      </c>
      <c r="M296" s="74">
        <v>132.68254999999999</v>
      </c>
      <c r="N296" s="84">
        <v>109.92</v>
      </c>
      <c r="O296" s="85">
        <v>33.250799999999998</v>
      </c>
      <c r="P296" s="37"/>
      <c r="Q296" s="37"/>
      <c r="R296" s="37"/>
      <c r="S296" s="86">
        <v>10000000</v>
      </c>
      <c r="T296" s="86">
        <v>1049537250</v>
      </c>
      <c r="U296" s="86">
        <v>1282767750</v>
      </c>
      <c r="V296" s="86">
        <v>2332305000</v>
      </c>
      <c r="W296" s="87">
        <v>128276775</v>
      </c>
      <c r="X296" s="88">
        <v>2460581775</v>
      </c>
      <c r="Y296" s="89">
        <v>246058177.5</v>
      </c>
      <c r="Z296" s="37"/>
      <c r="AA296" s="90"/>
      <c r="AB296" s="91">
        <v>177.81</v>
      </c>
      <c r="AC296" s="91">
        <v>20.39</v>
      </c>
      <c r="AD296" s="91">
        <v>240.42</v>
      </c>
      <c r="AE296" s="91">
        <v>260.81</v>
      </c>
      <c r="AF296" s="91">
        <v>438.62</v>
      </c>
    </row>
    <row r="297" spans="1:32" s="92" customFormat="1">
      <c r="A297" s="84"/>
      <c r="B297" s="84"/>
      <c r="C297" s="127" t="s">
        <v>476</v>
      </c>
      <c r="D297" s="84">
        <v>99.29</v>
      </c>
      <c r="E297" s="85">
        <v>30.035225000000001</v>
      </c>
      <c r="F297" s="73">
        <v>230.31</v>
      </c>
      <c r="G297" s="85">
        <v>69.668774999999997</v>
      </c>
      <c r="H297" s="74">
        <v>53.11</v>
      </c>
      <c r="I297" s="74">
        <v>16.065774999999999</v>
      </c>
      <c r="J297" s="74">
        <v>77.91</v>
      </c>
      <c r="K297" s="74">
        <v>23.567774999999997</v>
      </c>
      <c r="L297" s="74">
        <v>131.01999999999998</v>
      </c>
      <c r="M297" s="74">
        <v>39.633549999999993</v>
      </c>
      <c r="N297" s="84">
        <v>32.83</v>
      </c>
      <c r="O297" s="85">
        <v>9.9310749999999999</v>
      </c>
      <c r="P297" s="37"/>
      <c r="Q297" s="37"/>
      <c r="R297" s="37"/>
      <c r="S297" s="86">
        <v>10000000</v>
      </c>
      <c r="T297" s="86">
        <v>313509150</v>
      </c>
      <c r="U297" s="86">
        <v>383177850.00000006</v>
      </c>
      <c r="V297" s="86">
        <v>696687000</v>
      </c>
      <c r="W297" s="87">
        <v>38317785.000000007</v>
      </c>
      <c r="X297" s="88">
        <v>735004785</v>
      </c>
      <c r="Y297" s="89">
        <v>73500478.5</v>
      </c>
      <c r="Z297" s="37"/>
      <c r="AA297" s="90"/>
      <c r="AB297" s="91">
        <v>53.11</v>
      </c>
      <c r="AC297" s="91">
        <v>6.09</v>
      </c>
      <c r="AD297" s="91">
        <v>71.819999999999993</v>
      </c>
      <c r="AE297" s="91">
        <v>77.91</v>
      </c>
      <c r="AF297" s="91">
        <v>131.01999999999998</v>
      </c>
    </row>
    <row r="298" spans="1:32" s="92" customFormat="1">
      <c r="A298" s="84"/>
      <c r="B298" s="84"/>
      <c r="C298" s="127" t="s">
        <v>476</v>
      </c>
      <c r="D298" s="84">
        <v>87.43</v>
      </c>
      <c r="E298" s="85">
        <v>26.447575000000001</v>
      </c>
      <c r="F298" s="73">
        <v>202.8</v>
      </c>
      <c r="G298" s="85">
        <v>61.347000000000001</v>
      </c>
      <c r="H298" s="74">
        <v>46.77</v>
      </c>
      <c r="I298" s="74">
        <v>14.147925000000001</v>
      </c>
      <c r="J298" s="74">
        <v>68.600000000000009</v>
      </c>
      <c r="K298" s="74">
        <v>20.751500000000004</v>
      </c>
      <c r="L298" s="74">
        <v>115.37</v>
      </c>
      <c r="M298" s="74">
        <v>34.899425000000001</v>
      </c>
      <c r="N298" s="84">
        <v>28.91</v>
      </c>
      <c r="O298" s="85">
        <v>8.7452749999999995</v>
      </c>
      <c r="P298" s="37"/>
      <c r="Q298" s="37"/>
      <c r="R298" s="37"/>
      <c r="S298" s="86">
        <v>10000000</v>
      </c>
      <c r="T298" s="86">
        <v>276061500</v>
      </c>
      <c r="U298" s="86">
        <v>337408500</v>
      </c>
      <c r="V298" s="86">
        <v>613470000</v>
      </c>
      <c r="W298" s="87">
        <v>33740850</v>
      </c>
      <c r="X298" s="88">
        <v>647210850</v>
      </c>
      <c r="Y298" s="89">
        <v>64721085</v>
      </c>
      <c r="Z298" s="37"/>
      <c r="AA298" s="90"/>
      <c r="AB298" s="91">
        <v>46.77</v>
      </c>
      <c r="AC298" s="91">
        <v>5.36</v>
      </c>
      <c r="AD298" s="91">
        <v>63.24</v>
      </c>
      <c r="AE298" s="91">
        <v>68.600000000000009</v>
      </c>
      <c r="AF298" s="91">
        <v>115.37</v>
      </c>
    </row>
    <row r="299" spans="1:32" s="92" customFormat="1">
      <c r="A299" s="84"/>
      <c r="B299" s="84"/>
      <c r="C299" s="127" t="s">
        <v>476</v>
      </c>
      <c r="D299" s="84">
        <v>169.26</v>
      </c>
      <c r="E299" s="85">
        <v>51.201149999999998</v>
      </c>
      <c r="F299" s="73">
        <v>392.61</v>
      </c>
      <c r="G299" s="85">
        <v>118.76452500000001</v>
      </c>
      <c r="H299" s="74">
        <v>90.54</v>
      </c>
      <c r="I299" s="74">
        <v>27.388350000000003</v>
      </c>
      <c r="J299" s="74">
        <v>132.81</v>
      </c>
      <c r="K299" s="74">
        <v>40.175024999999998</v>
      </c>
      <c r="L299" s="74">
        <v>223.35000000000002</v>
      </c>
      <c r="M299" s="74">
        <v>67.563375000000008</v>
      </c>
      <c r="N299" s="84">
        <v>55.97</v>
      </c>
      <c r="O299" s="85">
        <v>16.930924999999998</v>
      </c>
      <c r="P299" s="37"/>
      <c r="Q299" s="37"/>
      <c r="R299" s="37"/>
      <c r="S299" s="86">
        <v>10000000</v>
      </c>
      <c r="T299" s="86">
        <v>534440250</v>
      </c>
      <c r="U299" s="86">
        <v>653204750</v>
      </c>
      <c r="V299" s="86">
        <v>1187645000</v>
      </c>
      <c r="W299" s="87">
        <v>65320475</v>
      </c>
      <c r="X299" s="88">
        <v>1252965475</v>
      </c>
      <c r="Y299" s="89">
        <v>125296547.5</v>
      </c>
      <c r="Z299" s="37"/>
      <c r="AA299" s="90"/>
      <c r="AB299" s="91">
        <v>90.54</v>
      </c>
      <c r="AC299" s="91">
        <v>10.38</v>
      </c>
      <c r="AD299" s="91">
        <v>122.43</v>
      </c>
      <c r="AE299" s="91">
        <v>132.81</v>
      </c>
      <c r="AF299" s="91">
        <v>223.35000000000002</v>
      </c>
    </row>
    <row r="300" spans="1:32">
      <c r="A300" s="419" t="s">
        <v>430</v>
      </c>
      <c r="B300" s="420"/>
      <c r="C300" s="125">
        <v>27</v>
      </c>
      <c r="D300" s="29">
        <v>3356.4400000000005</v>
      </c>
      <c r="E300" s="29">
        <v>1015.3231000000001</v>
      </c>
      <c r="F300" s="29">
        <v>7532.329999999999</v>
      </c>
      <c r="G300" s="29">
        <v>2278.5298250000005</v>
      </c>
      <c r="H300" s="29">
        <v>1542.1999999999996</v>
      </c>
      <c r="I300" s="29">
        <v>466.51550000000003</v>
      </c>
      <c r="J300" s="29">
        <v>2633.6899999999996</v>
      </c>
      <c r="K300" s="29">
        <v>796.69122500000003</v>
      </c>
      <c r="L300" s="29">
        <v>4175.8899999999994</v>
      </c>
      <c r="M300" s="29">
        <v>1263.2067250000002</v>
      </c>
      <c r="N300" s="29">
        <v>1109.8799999999999</v>
      </c>
      <c r="O300" s="29">
        <v>335.73869999999994</v>
      </c>
      <c r="P300" s="30"/>
      <c r="Q300" s="30">
        <v>0</v>
      </c>
      <c r="R300" s="30">
        <v>0</v>
      </c>
      <c r="S300" s="30">
        <v>22451516.94766511</v>
      </c>
      <c r="T300" s="30">
        <v>12243555000</v>
      </c>
      <c r="U300" s="30">
        <v>14964345000</v>
      </c>
      <c r="V300" s="30">
        <v>27207900000</v>
      </c>
      <c r="W300" s="30">
        <v>1496434500</v>
      </c>
      <c r="X300" s="30">
        <v>28704334500</v>
      </c>
      <c r="Y300" s="39"/>
      <c r="Z300" s="25"/>
      <c r="AB300" s="42"/>
      <c r="AC300" s="42"/>
      <c r="AD300" s="42"/>
      <c r="AE300" s="42"/>
      <c r="AF300" s="42"/>
    </row>
    <row r="301" spans="1:32">
      <c r="A301" s="24" t="s">
        <v>268</v>
      </c>
      <c r="B301" s="16" t="s">
        <v>436</v>
      </c>
      <c r="C301" s="126" t="s">
        <v>406</v>
      </c>
      <c r="D301" s="23">
        <v>98.06</v>
      </c>
      <c r="E301" s="17">
        <v>29.663149999999998</v>
      </c>
      <c r="F301" s="18">
        <v>213.94</v>
      </c>
      <c r="G301" s="17">
        <v>64.716849999999994</v>
      </c>
      <c r="H301" s="45">
        <v>38.93</v>
      </c>
      <c r="I301" s="45">
        <v>11.776325</v>
      </c>
      <c r="J301" s="45">
        <v>76.95</v>
      </c>
      <c r="K301" s="45">
        <v>23.277374999999999</v>
      </c>
      <c r="L301" s="45">
        <v>115.88000000000001</v>
      </c>
      <c r="M301" s="45">
        <v>35.053699999999999</v>
      </c>
      <c r="N301" s="23">
        <v>32.43</v>
      </c>
      <c r="O301" s="17">
        <v>9.8100749999999994</v>
      </c>
      <c r="P301" s="25">
        <v>52691</v>
      </c>
      <c r="Q301" s="25">
        <v>3409000</v>
      </c>
      <c r="R301" s="25">
        <v>34090000</v>
      </c>
      <c r="S301" s="25"/>
      <c r="T301" s="25"/>
      <c r="U301" s="25"/>
      <c r="V301" s="25"/>
      <c r="W301" s="38">
        <v>340900</v>
      </c>
      <c r="X301" s="40">
        <v>3749900</v>
      </c>
      <c r="Y301" s="39"/>
      <c r="Z301" s="25">
        <v>3409000</v>
      </c>
      <c r="AA301" s="13" t="s">
        <v>407</v>
      </c>
      <c r="AB301" s="42">
        <v>38.93</v>
      </c>
      <c r="AC301" s="42">
        <v>6.02</v>
      </c>
      <c r="AD301" s="42">
        <v>70.930000000000007</v>
      </c>
      <c r="AE301" s="42">
        <v>76.95</v>
      </c>
      <c r="AF301" s="42">
        <v>115.88000000000001</v>
      </c>
    </row>
    <row r="302" spans="1:32">
      <c r="A302" s="24" t="s">
        <v>269</v>
      </c>
      <c r="B302" s="23" t="s">
        <v>436</v>
      </c>
      <c r="C302" s="126" t="s">
        <v>406</v>
      </c>
      <c r="D302" s="23">
        <v>53.02</v>
      </c>
      <c r="E302" s="17">
        <v>16.038550000000001</v>
      </c>
      <c r="F302" s="18">
        <v>115.67000000000002</v>
      </c>
      <c r="G302" s="17">
        <v>34.990175000000001</v>
      </c>
      <c r="H302" s="45">
        <v>21.05</v>
      </c>
      <c r="I302" s="45">
        <v>6.3676250000000003</v>
      </c>
      <c r="J302" s="45">
        <v>41.6</v>
      </c>
      <c r="K302" s="45">
        <v>12.584</v>
      </c>
      <c r="L302" s="45">
        <v>62.650000000000006</v>
      </c>
      <c r="M302" s="45">
        <v>18.951625</v>
      </c>
      <c r="N302" s="23">
        <v>17.53</v>
      </c>
      <c r="O302" s="17">
        <v>5.3028250000000003</v>
      </c>
      <c r="P302" s="25">
        <v>50585</v>
      </c>
      <c r="Q302" s="25">
        <v>1769000</v>
      </c>
      <c r="R302" s="25">
        <v>17690000</v>
      </c>
      <c r="S302" s="25"/>
      <c r="T302" s="25"/>
      <c r="U302" s="25"/>
      <c r="V302" s="25"/>
      <c r="W302" s="38">
        <v>176900</v>
      </c>
      <c r="X302" s="40">
        <v>1945900</v>
      </c>
      <c r="Y302" s="39"/>
      <c r="Z302" s="25">
        <v>1769000</v>
      </c>
      <c r="AA302" s="13" t="s">
        <v>362</v>
      </c>
      <c r="AB302" s="42">
        <v>21.05</v>
      </c>
      <c r="AC302" s="42">
        <v>3.25</v>
      </c>
      <c r="AD302" s="42">
        <v>38.35</v>
      </c>
      <c r="AE302" s="42">
        <v>41.6</v>
      </c>
      <c r="AF302" s="42">
        <v>62.650000000000006</v>
      </c>
    </row>
    <row r="303" spans="1:32">
      <c r="A303" s="24" t="s">
        <v>270</v>
      </c>
      <c r="B303" s="23" t="s">
        <v>436</v>
      </c>
      <c r="C303" s="126" t="s">
        <v>406</v>
      </c>
      <c r="D303" s="23">
        <v>84.56</v>
      </c>
      <c r="E303" s="17">
        <v>25.5794</v>
      </c>
      <c r="F303" s="18">
        <v>184.48</v>
      </c>
      <c r="G303" s="17">
        <v>55.805199999999992</v>
      </c>
      <c r="H303" s="45">
        <v>33.57</v>
      </c>
      <c r="I303" s="45">
        <v>10.154925</v>
      </c>
      <c r="J303" s="45">
        <v>66.349999999999994</v>
      </c>
      <c r="K303" s="45">
        <v>20.070874999999997</v>
      </c>
      <c r="L303" s="45">
        <v>99.919999999999987</v>
      </c>
      <c r="M303" s="45">
        <v>30.225799999999996</v>
      </c>
      <c r="N303" s="23">
        <v>27.96</v>
      </c>
      <c r="O303" s="17">
        <v>8.4579000000000004</v>
      </c>
      <c r="P303" s="25">
        <v>52683</v>
      </c>
      <c r="Q303" s="25">
        <v>2939000</v>
      </c>
      <c r="R303" s="25">
        <v>29390000</v>
      </c>
      <c r="S303" s="25"/>
      <c r="T303" s="25"/>
      <c r="U303" s="25"/>
      <c r="V303" s="25"/>
      <c r="W303" s="38">
        <v>293900</v>
      </c>
      <c r="X303" s="40">
        <v>3232900</v>
      </c>
      <c r="Y303" s="39"/>
      <c r="Z303" s="25">
        <v>2939000</v>
      </c>
      <c r="AA303" s="13" t="s">
        <v>362</v>
      </c>
      <c r="AB303" s="42">
        <v>33.57</v>
      </c>
      <c r="AC303" s="42">
        <v>5.19</v>
      </c>
      <c r="AD303" s="42">
        <v>61.16</v>
      </c>
      <c r="AE303" s="42">
        <v>66.349999999999994</v>
      </c>
      <c r="AF303" s="42">
        <v>99.919999999999987</v>
      </c>
    </row>
    <row r="304" spans="1:32">
      <c r="A304" s="24" t="s">
        <v>271</v>
      </c>
      <c r="B304" s="23" t="s">
        <v>436</v>
      </c>
      <c r="C304" s="126" t="s">
        <v>406</v>
      </c>
      <c r="D304" s="34">
        <v>76.7</v>
      </c>
      <c r="E304" s="17">
        <v>23.201750000000001</v>
      </c>
      <c r="F304" s="18">
        <v>167.33999999999997</v>
      </c>
      <c r="G304" s="17">
        <v>50.620349999999988</v>
      </c>
      <c r="H304" s="45">
        <v>30.45</v>
      </c>
      <c r="I304" s="45">
        <v>9.2111249999999991</v>
      </c>
      <c r="J304" s="45">
        <v>60.19</v>
      </c>
      <c r="K304" s="45">
        <v>18.207474999999999</v>
      </c>
      <c r="L304" s="45">
        <v>90.639999999999986</v>
      </c>
      <c r="M304" s="45">
        <v>27.418599999999994</v>
      </c>
      <c r="N304" s="23">
        <v>25.36</v>
      </c>
      <c r="O304" s="17">
        <v>7.6713999999999993</v>
      </c>
      <c r="P304" s="25">
        <v>50704</v>
      </c>
      <c r="Q304" s="25">
        <v>2566000</v>
      </c>
      <c r="R304" s="25">
        <v>25660000</v>
      </c>
      <c r="S304" s="25"/>
      <c r="T304" s="25"/>
      <c r="U304" s="25"/>
      <c r="V304" s="25"/>
      <c r="W304" s="38">
        <v>256600</v>
      </c>
      <c r="X304" s="40">
        <v>2822600</v>
      </c>
      <c r="Y304" s="39"/>
      <c r="Z304" s="25">
        <v>2566000</v>
      </c>
      <c r="AA304" s="13" t="s">
        <v>362</v>
      </c>
      <c r="AB304" s="42">
        <v>30.45</v>
      </c>
      <c r="AC304" s="42">
        <v>4.71</v>
      </c>
      <c r="AD304" s="42">
        <v>55.48</v>
      </c>
      <c r="AE304" s="42">
        <v>60.19</v>
      </c>
      <c r="AF304" s="42">
        <v>90.639999999999986</v>
      </c>
    </row>
    <row r="305" spans="1:32">
      <c r="A305" s="24" t="s">
        <v>272</v>
      </c>
      <c r="B305" s="23" t="s">
        <v>436</v>
      </c>
      <c r="C305" s="126" t="s">
        <v>406</v>
      </c>
      <c r="D305" s="23">
        <v>81.69</v>
      </c>
      <c r="E305" s="17">
        <v>24.711224999999999</v>
      </c>
      <c r="F305" s="18">
        <v>178.22</v>
      </c>
      <c r="G305" s="17">
        <v>53.911549999999998</v>
      </c>
      <c r="H305" s="45">
        <v>32.43</v>
      </c>
      <c r="I305" s="45">
        <v>9.8100749999999994</v>
      </c>
      <c r="J305" s="45">
        <v>64.100000000000009</v>
      </c>
      <c r="K305" s="45">
        <v>19.390250000000002</v>
      </c>
      <c r="L305" s="45">
        <v>96.53</v>
      </c>
      <c r="M305" s="45">
        <v>29.200324999999999</v>
      </c>
      <c r="N305" s="23">
        <v>27.01</v>
      </c>
      <c r="O305" s="17">
        <v>8.1705249999999996</v>
      </c>
      <c r="P305" s="25">
        <v>52678</v>
      </c>
      <c r="Q305" s="25">
        <v>2839000</v>
      </c>
      <c r="R305" s="25">
        <v>28390000</v>
      </c>
      <c r="S305" s="25"/>
      <c r="T305" s="25"/>
      <c r="U305" s="25"/>
      <c r="V305" s="25"/>
      <c r="W305" s="38">
        <v>283900</v>
      </c>
      <c r="X305" s="40">
        <v>3122900</v>
      </c>
      <c r="Y305" s="39"/>
      <c r="Z305" s="25">
        <v>2839000</v>
      </c>
      <c r="AA305" s="13" t="s">
        <v>362</v>
      </c>
      <c r="AB305" s="42">
        <v>32.43</v>
      </c>
      <c r="AC305" s="42">
        <v>5.01</v>
      </c>
      <c r="AD305" s="42">
        <v>59.09</v>
      </c>
      <c r="AE305" s="42">
        <v>64.100000000000009</v>
      </c>
      <c r="AF305" s="42">
        <v>96.53</v>
      </c>
    </row>
    <row r="306" spans="1:32">
      <c r="A306" s="24" t="s">
        <v>273</v>
      </c>
      <c r="B306" s="23" t="s">
        <v>436</v>
      </c>
      <c r="C306" s="126" t="s">
        <v>406</v>
      </c>
      <c r="D306" s="23">
        <v>81.69</v>
      </c>
      <c r="E306" s="17">
        <v>24.711224999999999</v>
      </c>
      <c r="F306" s="18">
        <v>178.22</v>
      </c>
      <c r="G306" s="17">
        <v>53.911549999999998</v>
      </c>
      <c r="H306" s="45">
        <v>32.43</v>
      </c>
      <c r="I306" s="45">
        <v>9.8100749999999994</v>
      </c>
      <c r="J306" s="45">
        <v>64.100000000000009</v>
      </c>
      <c r="K306" s="45">
        <v>19.390250000000002</v>
      </c>
      <c r="L306" s="45">
        <v>96.53</v>
      </c>
      <c r="M306" s="45">
        <v>29.200324999999999</v>
      </c>
      <c r="N306" s="23">
        <v>27.01</v>
      </c>
      <c r="O306" s="17">
        <v>8.1705249999999996</v>
      </c>
      <c r="P306" s="25">
        <v>52678</v>
      </c>
      <c r="Q306" s="25">
        <v>2839000</v>
      </c>
      <c r="R306" s="25">
        <v>28390000</v>
      </c>
      <c r="S306" s="25"/>
      <c r="T306" s="25"/>
      <c r="U306" s="25"/>
      <c r="V306" s="25"/>
      <c r="W306" s="38">
        <v>283900</v>
      </c>
      <c r="X306" s="40">
        <v>3122900</v>
      </c>
      <c r="Y306" s="39"/>
      <c r="Z306" s="25">
        <v>2839000</v>
      </c>
      <c r="AA306" s="13" t="s">
        <v>362</v>
      </c>
      <c r="AB306" s="42">
        <v>32.43</v>
      </c>
      <c r="AC306" s="42">
        <v>5.01</v>
      </c>
      <c r="AD306" s="42">
        <v>59.09</v>
      </c>
      <c r="AE306" s="42">
        <v>64.100000000000009</v>
      </c>
      <c r="AF306" s="42">
        <v>96.53</v>
      </c>
    </row>
    <row r="307" spans="1:32">
      <c r="A307" s="24" t="s">
        <v>274</v>
      </c>
      <c r="B307" s="23" t="s">
        <v>436</v>
      </c>
      <c r="C307" s="126" t="s">
        <v>406</v>
      </c>
      <c r="D307" s="23">
        <v>81.69</v>
      </c>
      <c r="E307" s="17">
        <v>24.711224999999999</v>
      </c>
      <c r="F307" s="18">
        <v>178.22</v>
      </c>
      <c r="G307" s="17">
        <v>53.911549999999998</v>
      </c>
      <c r="H307" s="45">
        <v>32.43</v>
      </c>
      <c r="I307" s="45">
        <v>9.8100749999999994</v>
      </c>
      <c r="J307" s="45">
        <v>64.100000000000009</v>
      </c>
      <c r="K307" s="45">
        <v>19.390250000000002</v>
      </c>
      <c r="L307" s="45">
        <v>96.53</v>
      </c>
      <c r="M307" s="45">
        <v>29.200324999999999</v>
      </c>
      <c r="N307" s="23">
        <v>27.01</v>
      </c>
      <c r="O307" s="17">
        <v>8.1705249999999996</v>
      </c>
      <c r="P307" s="25">
        <v>52678</v>
      </c>
      <c r="Q307" s="25">
        <v>2839000</v>
      </c>
      <c r="R307" s="25">
        <v>28390000</v>
      </c>
      <c r="S307" s="25"/>
      <c r="T307" s="25"/>
      <c r="U307" s="25"/>
      <c r="V307" s="25"/>
      <c r="W307" s="38">
        <v>283900</v>
      </c>
      <c r="X307" s="40">
        <v>3122900</v>
      </c>
      <c r="Y307" s="39"/>
      <c r="Z307" s="25">
        <v>2839000</v>
      </c>
      <c r="AA307" s="13" t="s">
        <v>362</v>
      </c>
      <c r="AB307" s="42">
        <v>32.43</v>
      </c>
      <c r="AC307" s="42">
        <v>5.01</v>
      </c>
      <c r="AD307" s="42">
        <v>59.09</v>
      </c>
      <c r="AE307" s="42">
        <v>64.100000000000009</v>
      </c>
      <c r="AF307" s="42">
        <v>96.53</v>
      </c>
    </row>
    <row r="308" spans="1:32">
      <c r="A308" s="24" t="s">
        <v>275</v>
      </c>
      <c r="B308" s="23" t="s">
        <v>436</v>
      </c>
      <c r="C308" s="126" t="s">
        <v>406</v>
      </c>
      <c r="D308" s="23">
        <v>81.69</v>
      </c>
      <c r="E308" s="17">
        <v>24.711224999999999</v>
      </c>
      <c r="F308" s="18">
        <v>178.22</v>
      </c>
      <c r="G308" s="17">
        <v>53.911549999999998</v>
      </c>
      <c r="H308" s="45">
        <v>32.43</v>
      </c>
      <c r="I308" s="45">
        <v>9.8100749999999994</v>
      </c>
      <c r="J308" s="45">
        <v>64.100000000000009</v>
      </c>
      <c r="K308" s="45">
        <v>19.390250000000002</v>
      </c>
      <c r="L308" s="45">
        <v>96.53</v>
      </c>
      <c r="M308" s="45">
        <v>29.200324999999999</v>
      </c>
      <c r="N308" s="23">
        <v>27.01</v>
      </c>
      <c r="O308" s="17">
        <v>8.1705249999999996</v>
      </c>
      <c r="P308" s="25">
        <v>51992.569310286941</v>
      </c>
      <c r="Q308" s="25">
        <v>2803000</v>
      </c>
      <c r="R308" s="25">
        <v>28030000</v>
      </c>
      <c r="S308" s="25"/>
      <c r="T308" s="25"/>
      <c r="U308" s="25"/>
      <c r="V308" s="25"/>
      <c r="W308" s="38">
        <v>280300</v>
      </c>
      <c r="X308" s="40">
        <v>3083300</v>
      </c>
      <c r="Y308" s="39"/>
      <c r="Z308" s="25">
        <v>2803000</v>
      </c>
      <c r="AA308" s="13" t="s">
        <v>362</v>
      </c>
      <c r="AB308" s="42">
        <v>32.43</v>
      </c>
      <c r="AC308" s="42">
        <v>5.01</v>
      </c>
      <c r="AD308" s="42">
        <v>59.09</v>
      </c>
      <c r="AE308" s="42">
        <v>64.100000000000009</v>
      </c>
      <c r="AF308" s="42">
        <v>96.53</v>
      </c>
    </row>
    <row r="309" spans="1:32">
      <c r="A309" s="24" t="s">
        <v>276</v>
      </c>
      <c r="B309" s="23" t="s">
        <v>436</v>
      </c>
      <c r="C309" s="126" t="s">
        <v>406</v>
      </c>
      <c r="D309" s="23">
        <v>66.97</v>
      </c>
      <c r="E309" s="17">
        <v>20.258424999999999</v>
      </c>
      <c r="F309" s="18">
        <v>146.11000000000001</v>
      </c>
      <c r="G309" s="17">
        <v>44.198275000000002</v>
      </c>
      <c r="H309" s="45">
        <v>26.59</v>
      </c>
      <c r="I309" s="45">
        <v>8.043474999999999</v>
      </c>
      <c r="J309" s="45">
        <v>52.55</v>
      </c>
      <c r="K309" s="45">
        <v>15.896374999999999</v>
      </c>
      <c r="L309" s="45">
        <v>79.14</v>
      </c>
      <c r="M309" s="45">
        <v>23.93985</v>
      </c>
      <c r="N309" s="23">
        <v>22.15</v>
      </c>
      <c r="O309" s="17">
        <v>6.7003749999999993</v>
      </c>
      <c r="P309" s="25">
        <v>50680</v>
      </c>
      <c r="Q309" s="25">
        <v>2239000</v>
      </c>
      <c r="R309" s="25">
        <v>22390000</v>
      </c>
      <c r="S309" s="25"/>
      <c r="T309" s="25"/>
      <c r="U309" s="25"/>
      <c r="V309" s="25"/>
      <c r="W309" s="38">
        <v>223900</v>
      </c>
      <c r="X309" s="40">
        <v>2462900</v>
      </c>
      <c r="Y309" s="39"/>
      <c r="Z309" s="25">
        <v>2239000</v>
      </c>
      <c r="AA309" s="13" t="s">
        <v>362</v>
      </c>
      <c r="AB309" s="42">
        <v>26.59</v>
      </c>
      <c r="AC309" s="42">
        <v>4.1100000000000003</v>
      </c>
      <c r="AD309" s="42">
        <v>48.44</v>
      </c>
      <c r="AE309" s="42">
        <v>52.55</v>
      </c>
      <c r="AF309" s="42">
        <v>79.14</v>
      </c>
    </row>
    <row r="310" spans="1:32">
      <c r="A310" s="24" t="s">
        <v>277</v>
      </c>
      <c r="B310" s="23" t="s">
        <v>436</v>
      </c>
      <c r="C310" s="126" t="s">
        <v>406</v>
      </c>
      <c r="D310" s="23">
        <v>81.69</v>
      </c>
      <c r="E310" s="17">
        <v>24.711224999999999</v>
      </c>
      <c r="F310" s="18">
        <v>178.22</v>
      </c>
      <c r="G310" s="17">
        <v>53.911549999999998</v>
      </c>
      <c r="H310" s="45">
        <v>32.43</v>
      </c>
      <c r="I310" s="45">
        <v>9.8100749999999994</v>
      </c>
      <c r="J310" s="45">
        <v>64.100000000000009</v>
      </c>
      <c r="K310" s="45">
        <v>19.390250000000002</v>
      </c>
      <c r="L310" s="45">
        <v>96.53</v>
      </c>
      <c r="M310" s="45">
        <v>29.200324999999999</v>
      </c>
      <c r="N310" s="23">
        <v>27.01</v>
      </c>
      <c r="O310" s="17">
        <v>8.1705249999999996</v>
      </c>
      <c r="P310" s="25">
        <v>51992.569310286941</v>
      </c>
      <c r="Q310" s="25">
        <v>2803000</v>
      </c>
      <c r="R310" s="25">
        <v>28030000</v>
      </c>
      <c r="S310" s="25"/>
      <c r="T310" s="25"/>
      <c r="U310" s="25"/>
      <c r="V310" s="25"/>
      <c r="W310" s="38">
        <v>280300</v>
      </c>
      <c r="X310" s="40">
        <v>3083300</v>
      </c>
      <c r="Y310" s="39"/>
      <c r="Z310" s="25">
        <v>2803000</v>
      </c>
      <c r="AA310" s="13" t="s">
        <v>362</v>
      </c>
      <c r="AB310" s="42">
        <v>32.43</v>
      </c>
      <c r="AC310" s="42">
        <v>5.01</v>
      </c>
      <c r="AD310" s="42">
        <v>59.09</v>
      </c>
      <c r="AE310" s="42">
        <v>64.100000000000009</v>
      </c>
      <c r="AF310" s="42">
        <v>96.53</v>
      </c>
    </row>
    <row r="311" spans="1:32">
      <c r="A311" s="24" t="s">
        <v>278</v>
      </c>
      <c r="B311" s="23" t="s">
        <v>436</v>
      </c>
      <c r="C311" s="126" t="s">
        <v>406</v>
      </c>
      <c r="D311" s="23">
        <v>81.69</v>
      </c>
      <c r="E311" s="17">
        <v>24.711224999999999</v>
      </c>
      <c r="F311" s="18">
        <v>178.22</v>
      </c>
      <c r="G311" s="17">
        <v>53.911549999999998</v>
      </c>
      <c r="H311" s="45">
        <v>32.43</v>
      </c>
      <c r="I311" s="45">
        <v>9.8100749999999994</v>
      </c>
      <c r="J311" s="45">
        <v>64.100000000000009</v>
      </c>
      <c r="K311" s="45">
        <v>19.390250000000002</v>
      </c>
      <c r="L311" s="45">
        <v>96.53</v>
      </c>
      <c r="M311" s="45">
        <v>29.200324999999999</v>
      </c>
      <c r="N311" s="23">
        <v>27.01</v>
      </c>
      <c r="O311" s="17">
        <v>8.1705249999999996</v>
      </c>
      <c r="P311" s="25">
        <v>51992.569310286941</v>
      </c>
      <c r="Q311" s="25">
        <v>2803000</v>
      </c>
      <c r="R311" s="25">
        <v>28030000</v>
      </c>
      <c r="S311" s="25"/>
      <c r="T311" s="25"/>
      <c r="U311" s="25"/>
      <c r="V311" s="25"/>
      <c r="W311" s="38">
        <v>280300</v>
      </c>
      <c r="X311" s="40">
        <v>3083300</v>
      </c>
      <c r="Y311" s="39"/>
      <c r="Z311" s="25">
        <v>2803000</v>
      </c>
      <c r="AA311" s="13" t="s">
        <v>362</v>
      </c>
      <c r="AB311" s="42">
        <v>32.43</v>
      </c>
      <c r="AC311" s="42">
        <v>5.01</v>
      </c>
      <c r="AD311" s="42">
        <v>59.09</v>
      </c>
      <c r="AE311" s="42">
        <v>64.100000000000009</v>
      </c>
      <c r="AF311" s="42">
        <v>96.53</v>
      </c>
    </row>
    <row r="312" spans="1:32">
      <c r="A312" s="24" t="s">
        <v>279</v>
      </c>
      <c r="B312" s="23" t="s">
        <v>436</v>
      </c>
      <c r="C312" s="126" t="s">
        <v>406</v>
      </c>
      <c r="D312" s="23">
        <v>119.62</v>
      </c>
      <c r="E312" s="17">
        <v>36.185049999999997</v>
      </c>
      <c r="F312" s="18">
        <v>260.97000000000003</v>
      </c>
      <c r="G312" s="17">
        <v>78.943425000000005</v>
      </c>
      <c r="H312" s="45">
        <v>47.49</v>
      </c>
      <c r="I312" s="45">
        <v>14.365724999999999</v>
      </c>
      <c r="J312" s="45">
        <v>93.86</v>
      </c>
      <c r="K312" s="45">
        <v>28.39265</v>
      </c>
      <c r="L312" s="45">
        <v>141.35</v>
      </c>
      <c r="M312" s="45">
        <v>42.758374999999994</v>
      </c>
      <c r="N312" s="23">
        <v>39.56</v>
      </c>
      <c r="O312" s="17">
        <v>11.966900000000001</v>
      </c>
      <c r="P312" s="25">
        <v>52011.931329303232</v>
      </c>
      <c r="Q312" s="25">
        <v>4106000</v>
      </c>
      <c r="R312" s="25">
        <v>41060000</v>
      </c>
      <c r="S312" s="25"/>
      <c r="T312" s="25"/>
      <c r="U312" s="25"/>
      <c r="V312" s="25"/>
      <c r="W312" s="38">
        <v>410600</v>
      </c>
      <c r="X312" s="40">
        <v>4516600</v>
      </c>
      <c r="Y312" s="39"/>
      <c r="Z312" s="25">
        <v>4106000</v>
      </c>
      <c r="AA312" s="13" t="s">
        <v>362</v>
      </c>
      <c r="AB312" s="42">
        <v>47.49</v>
      </c>
      <c r="AC312" s="42">
        <v>7.34</v>
      </c>
      <c r="AD312" s="42">
        <v>86.52</v>
      </c>
      <c r="AE312" s="42">
        <v>93.86</v>
      </c>
      <c r="AF312" s="42">
        <v>141.35</v>
      </c>
    </row>
    <row r="313" spans="1:32">
      <c r="A313" s="24" t="s">
        <v>280</v>
      </c>
      <c r="B313" s="23" t="s">
        <v>436</v>
      </c>
      <c r="C313" s="126" t="s">
        <v>406</v>
      </c>
      <c r="D313" s="34">
        <v>109.6</v>
      </c>
      <c r="E313" s="17">
        <v>33.153999999999996</v>
      </c>
      <c r="F313" s="18">
        <v>239.10999999999999</v>
      </c>
      <c r="G313" s="17">
        <v>72.330774999999988</v>
      </c>
      <c r="H313" s="45">
        <v>43.51</v>
      </c>
      <c r="I313" s="45">
        <v>13.161774999999999</v>
      </c>
      <c r="J313" s="45">
        <v>86</v>
      </c>
      <c r="K313" s="45">
        <v>26.015000000000001</v>
      </c>
      <c r="L313" s="45">
        <v>129.51</v>
      </c>
      <c r="M313" s="45">
        <v>39.176774999999999</v>
      </c>
      <c r="N313" s="23">
        <v>36.24</v>
      </c>
      <c r="O313" s="17">
        <v>10.9626</v>
      </c>
      <c r="P313" s="25">
        <v>52674</v>
      </c>
      <c r="Q313" s="25">
        <v>3809000</v>
      </c>
      <c r="R313" s="25">
        <v>38090000</v>
      </c>
      <c r="S313" s="25"/>
      <c r="T313" s="25"/>
      <c r="U313" s="25"/>
      <c r="V313" s="25"/>
      <c r="W313" s="38">
        <v>380900</v>
      </c>
      <c r="X313" s="40">
        <v>4189900</v>
      </c>
      <c r="Y313" s="39"/>
      <c r="Z313" s="25">
        <v>3809000</v>
      </c>
      <c r="AA313" s="13" t="s">
        <v>362</v>
      </c>
      <c r="AB313" s="42">
        <v>43.51</v>
      </c>
      <c r="AC313" s="42">
        <v>6.72</v>
      </c>
      <c r="AD313" s="42">
        <v>79.28</v>
      </c>
      <c r="AE313" s="42">
        <v>86</v>
      </c>
      <c r="AF313" s="42">
        <v>129.51</v>
      </c>
    </row>
    <row r="314" spans="1:32">
      <c r="A314" s="24" t="s">
        <v>281</v>
      </c>
      <c r="B314" s="23" t="s">
        <v>436</v>
      </c>
      <c r="C314" s="126" t="s">
        <v>406</v>
      </c>
      <c r="D314" s="23">
        <v>119.62</v>
      </c>
      <c r="E314" s="17">
        <v>36.185049999999997</v>
      </c>
      <c r="F314" s="18">
        <v>260.97000000000003</v>
      </c>
      <c r="G314" s="17">
        <v>78.943425000000005</v>
      </c>
      <c r="H314" s="45">
        <v>47.49</v>
      </c>
      <c r="I314" s="45">
        <v>14.365724999999999</v>
      </c>
      <c r="J314" s="45">
        <v>93.86</v>
      </c>
      <c r="K314" s="45">
        <v>28.39265</v>
      </c>
      <c r="L314" s="45">
        <v>141.35</v>
      </c>
      <c r="M314" s="45">
        <v>42.758374999999994</v>
      </c>
      <c r="N314" s="23">
        <v>39.56</v>
      </c>
      <c r="O314" s="17">
        <v>11.966900000000001</v>
      </c>
      <c r="P314" s="25">
        <v>52011.931329303232</v>
      </c>
      <c r="Q314" s="25">
        <v>4106000</v>
      </c>
      <c r="R314" s="25">
        <v>41060000</v>
      </c>
      <c r="S314" s="25"/>
      <c r="T314" s="25"/>
      <c r="U314" s="25"/>
      <c r="V314" s="25"/>
      <c r="W314" s="38">
        <v>410600</v>
      </c>
      <c r="X314" s="40">
        <v>4516600</v>
      </c>
      <c r="Y314" s="39"/>
      <c r="Z314" s="25">
        <v>4106000</v>
      </c>
      <c r="AA314" s="13" t="s">
        <v>362</v>
      </c>
      <c r="AB314" s="42">
        <v>47.49</v>
      </c>
      <c r="AC314" s="42">
        <v>7.34</v>
      </c>
      <c r="AD314" s="42">
        <v>86.52</v>
      </c>
      <c r="AE314" s="42">
        <v>93.86</v>
      </c>
      <c r="AF314" s="42">
        <v>141.35</v>
      </c>
    </row>
    <row r="315" spans="1:32">
      <c r="A315" s="24" t="s">
        <v>282</v>
      </c>
      <c r="B315" s="23" t="s">
        <v>436</v>
      </c>
      <c r="C315" s="126" t="s">
        <v>406</v>
      </c>
      <c r="D315" s="23">
        <v>81.69</v>
      </c>
      <c r="E315" s="17">
        <v>24.711224999999999</v>
      </c>
      <c r="F315" s="18">
        <v>178.22</v>
      </c>
      <c r="G315" s="17">
        <v>53.911549999999998</v>
      </c>
      <c r="H315" s="45">
        <v>32.43</v>
      </c>
      <c r="I315" s="45">
        <v>9.8100749999999994</v>
      </c>
      <c r="J315" s="45">
        <v>64.100000000000009</v>
      </c>
      <c r="K315" s="45">
        <v>19.390250000000002</v>
      </c>
      <c r="L315" s="45">
        <v>96.53</v>
      </c>
      <c r="M315" s="45">
        <v>29.200324999999999</v>
      </c>
      <c r="N315" s="23">
        <v>27.01</v>
      </c>
      <c r="O315" s="17">
        <v>8.1705249999999996</v>
      </c>
      <c r="P315" s="25">
        <v>51992.569310286941</v>
      </c>
      <c r="Q315" s="25">
        <v>2803000</v>
      </c>
      <c r="R315" s="25">
        <v>28030000</v>
      </c>
      <c r="S315" s="25"/>
      <c r="T315" s="25"/>
      <c r="U315" s="25"/>
      <c r="V315" s="25"/>
      <c r="W315" s="38">
        <v>280300</v>
      </c>
      <c r="X315" s="40">
        <v>3083300</v>
      </c>
      <c r="Y315" s="39"/>
      <c r="Z315" s="25">
        <v>2803000</v>
      </c>
      <c r="AA315" s="13" t="s">
        <v>362</v>
      </c>
      <c r="AB315" s="42">
        <v>32.43</v>
      </c>
      <c r="AC315" s="42">
        <v>5.01</v>
      </c>
      <c r="AD315" s="42">
        <v>59.09</v>
      </c>
      <c r="AE315" s="42">
        <v>64.100000000000009</v>
      </c>
      <c r="AF315" s="42">
        <v>96.53</v>
      </c>
    </row>
    <row r="316" spans="1:32">
      <c r="A316" s="24" t="s">
        <v>283</v>
      </c>
      <c r="B316" s="23" t="s">
        <v>436</v>
      </c>
      <c r="C316" s="126" t="s">
        <v>406</v>
      </c>
      <c r="D316" s="23">
        <v>81.69</v>
      </c>
      <c r="E316" s="17">
        <v>24.711224999999999</v>
      </c>
      <c r="F316" s="18">
        <v>178.22</v>
      </c>
      <c r="G316" s="17">
        <v>53.911549999999998</v>
      </c>
      <c r="H316" s="45">
        <v>32.43</v>
      </c>
      <c r="I316" s="45">
        <v>9.8100749999999994</v>
      </c>
      <c r="J316" s="45">
        <v>64.100000000000009</v>
      </c>
      <c r="K316" s="45">
        <v>19.390250000000002</v>
      </c>
      <c r="L316" s="45">
        <v>96.53</v>
      </c>
      <c r="M316" s="45">
        <v>29.200324999999999</v>
      </c>
      <c r="N316" s="23">
        <v>27.01</v>
      </c>
      <c r="O316" s="17">
        <v>8.1705249999999996</v>
      </c>
      <c r="P316" s="25">
        <v>51992.569310286941</v>
      </c>
      <c r="Q316" s="25">
        <v>2803000</v>
      </c>
      <c r="R316" s="25">
        <v>28030000</v>
      </c>
      <c r="S316" s="25"/>
      <c r="T316" s="25"/>
      <c r="U316" s="25"/>
      <c r="V316" s="25"/>
      <c r="W316" s="38">
        <v>280300</v>
      </c>
      <c r="X316" s="40">
        <v>3083300</v>
      </c>
      <c r="Y316" s="39"/>
      <c r="Z316" s="25">
        <v>2803000</v>
      </c>
      <c r="AA316" s="13" t="s">
        <v>362</v>
      </c>
      <c r="AB316" s="42">
        <v>32.43</v>
      </c>
      <c r="AC316" s="42">
        <v>5.01</v>
      </c>
      <c r="AD316" s="42">
        <v>59.09</v>
      </c>
      <c r="AE316" s="42">
        <v>64.100000000000009</v>
      </c>
      <c r="AF316" s="42">
        <v>96.53</v>
      </c>
    </row>
    <row r="317" spans="1:32">
      <c r="A317" s="24" t="s">
        <v>284</v>
      </c>
      <c r="B317" s="23" t="s">
        <v>436</v>
      </c>
      <c r="C317" s="126" t="s">
        <v>406</v>
      </c>
      <c r="D317" s="23">
        <v>81.69</v>
      </c>
      <c r="E317" s="17">
        <v>24.711224999999999</v>
      </c>
      <c r="F317" s="18">
        <v>178.22</v>
      </c>
      <c r="G317" s="17">
        <v>53.911549999999998</v>
      </c>
      <c r="H317" s="45">
        <v>32.43</v>
      </c>
      <c r="I317" s="45">
        <v>9.8100749999999994</v>
      </c>
      <c r="J317" s="45">
        <v>64.100000000000009</v>
      </c>
      <c r="K317" s="45">
        <v>19.390250000000002</v>
      </c>
      <c r="L317" s="45">
        <v>96.53</v>
      </c>
      <c r="M317" s="45">
        <v>29.200324999999999</v>
      </c>
      <c r="N317" s="23">
        <v>27.01</v>
      </c>
      <c r="O317" s="17">
        <v>8.1705249999999996</v>
      </c>
      <c r="P317" s="25">
        <v>51992.569310286941</v>
      </c>
      <c r="Q317" s="25">
        <v>2803000</v>
      </c>
      <c r="R317" s="25">
        <v>28030000</v>
      </c>
      <c r="S317" s="25"/>
      <c r="T317" s="25"/>
      <c r="U317" s="25"/>
      <c r="V317" s="25"/>
      <c r="W317" s="38">
        <v>280300</v>
      </c>
      <c r="X317" s="40">
        <v>3083300</v>
      </c>
      <c r="Y317" s="39"/>
      <c r="Z317" s="25">
        <v>2803000</v>
      </c>
      <c r="AA317" s="13" t="s">
        <v>362</v>
      </c>
      <c r="AB317" s="42">
        <v>32.43</v>
      </c>
      <c r="AC317" s="42">
        <v>5.01</v>
      </c>
      <c r="AD317" s="42">
        <v>59.09</v>
      </c>
      <c r="AE317" s="42">
        <v>64.100000000000009</v>
      </c>
      <c r="AF317" s="42">
        <v>96.53</v>
      </c>
    </row>
    <row r="318" spans="1:32">
      <c r="A318" s="24" t="s">
        <v>285</v>
      </c>
      <c r="B318" s="23" t="s">
        <v>436</v>
      </c>
      <c r="C318" s="126" t="s">
        <v>406</v>
      </c>
      <c r="D318" s="23">
        <v>81.69</v>
      </c>
      <c r="E318" s="17">
        <v>24.711224999999999</v>
      </c>
      <c r="F318" s="18">
        <v>178.22</v>
      </c>
      <c r="G318" s="17">
        <v>53.911549999999998</v>
      </c>
      <c r="H318" s="45">
        <v>32.43</v>
      </c>
      <c r="I318" s="45">
        <v>9.8100749999999994</v>
      </c>
      <c r="J318" s="45">
        <v>64.100000000000009</v>
      </c>
      <c r="K318" s="45">
        <v>19.390250000000002</v>
      </c>
      <c r="L318" s="45">
        <v>96.53</v>
      </c>
      <c r="M318" s="45">
        <v>29.200324999999999</v>
      </c>
      <c r="N318" s="23">
        <v>27.01</v>
      </c>
      <c r="O318" s="17">
        <v>8.1705249999999996</v>
      </c>
      <c r="P318" s="25">
        <v>51992.569310286941</v>
      </c>
      <c r="Q318" s="25">
        <v>2803000</v>
      </c>
      <c r="R318" s="25">
        <v>28030000</v>
      </c>
      <c r="S318" s="25"/>
      <c r="T318" s="25"/>
      <c r="U318" s="25"/>
      <c r="V318" s="25"/>
      <c r="W318" s="38">
        <v>280300</v>
      </c>
      <c r="X318" s="40">
        <v>3083300</v>
      </c>
      <c r="Y318" s="39"/>
      <c r="Z318" s="25">
        <v>2803000</v>
      </c>
      <c r="AA318" s="13" t="s">
        <v>362</v>
      </c>
      <c r="AB318" s="42">
        <v>32.43</v>
      </c>
      <c r="AC318" s="42">
        <v>5.01</v>
      </c>
      <c r="AD318" s="42">
        <v>59.09</v>
      </c>
      <c r="AE318" s="42">
        <v>64.100000000000009</v>
      </c>
      <c r="AF318" s="42">
        <v>96.53</v>
      </c>
    </row>
    <row r="319" spans="1:32">
      <c r="A319" s="24" t="s">
        <v>286</v>
      </c>
      <c r="B319" s="23" t="s">
        <v>436</v>
      </c>
      <c r="C319" s="126" t="s">
        <v>406</v>
      </c>
      <c r="D319" s="23">
        <v>81.69</v>
      </c>
      <c r="E319" s="17">
        <v>24.711224999999999</v>
      </c>
      <c r="F319" s="18">
        <v>178.22</v>
      </c>
      <c r="G319" s="17">
        <v>53.911549999999998</v>
      </c>
      <c r="H319" s="45">
        <v>32.43</v>
      </c>
      <c r="I319" s="45">
        <v>9.8100749999999994</v>
      </c>
      <c r="J319" s="45">
        <v>64.100000000000009</v>
      </c>
      <c r="K319" s="45">
        <v>19.390250000000002</v>
      </c>
      <c r="L319" s="45">
        <v>96.53</v>
      </c>
      <c r="M319" s="45">
        <v>29.200324999999999</v>
      </c>
      <c r="N319" s="23">
        <v>27.01</v>
      </c>
      <c r="O319" s="17">
        <v>8.1705249999999996</v>
      </c>
      <c r="P319" s="25">
        <v>51992.569310286941</v>
      </c>
      <c r="Q319" s="25">
        <v>2803000</v>
      </c>
      <c r="R319" s="25">
        <v>28030000</v>
      </c>
      <c r="S319" s="25"/>
      <c r="T319" s="25"/>
      <c r="U319" s="25"/>
      <c r="V319" s="25"/>
      <c r="W319" s="38">
        <v>280300</v>
      </c>
      <c r="X319" s="40">
        <v>3083300</v>
      </c>
      <c r="Y319" s="39"/>
      <c r="Z319" s="25">
        <v>2803000</v>
      </c>
      <c r="AA319" s="13" t="s">
        <v>362</v>
      </c>
      <c r="AB319" s="42">
        <v>32.43</v>
      </c>
      <c r="AC319" s="42">
        <v>5.01</v>
      </c>
      <c r="AD319" s="42">
        <v>59.09</v>
      </c>
      <c r="AE319" s="42">
        <v>64.100000000000009</v>
      </c>
      <c r="AF319" s="42">
        <v>96.53</v>
      </c>
    </row>
    <row r="320" spans="1:32">
      <c r="A320" s="24" t="s">
        <v>287</v>
      </c>
      <c r="B320" s="23" t="s">
        <v>436</v>
      </c>
      <c r="C320" s="126" t="s">
        <v>406</v>
      </c>
      <c r="D320" s="23">
        <v>102.11</v>
      </c>
      <c r="E320" s="17">
        <v>30.888275</v>
      </c>
      <c r="F320" s="18">
        <v>222.76999999999998</v>
      </c>
      <c r="G320" s="17">
        <v>67.387924999999996</v>
      </c>
      <c r="H320" s="45">
        <v>40.54</v>
      </c>
      <c r="I320" s="45">
        <v>12.263349999999999</v>
      </c>
      <c r="J320" s="45">
        <v>80.12</v>
      </c>
      <c r="K320" s="45">
        <v>24.2363</v>
      </c>
      <c r="L320" s="45">
        <v>120.66</v>
      </c>
      <c r="M320" s="45">
        <v>36.499649999999995</v>
      </c>
      <c r="N320" s="23">
        <v>33.770000000000003</v>
      </c>
      <c r="O320" s="17">
        <v>10.215425000000002</v>
      </c>
      <c r="P320" s="25">
        <v>51997.446130000295</v>
      </c>
      <c r="Q320" s="25">
        <v>3504000</v>
      </c>
      <c r="R320" s="25">
        <v>35040000</v>
      </c>
      <c r="S320" s="25"/>
      <c r="T320" s="25"/>
      <c r="U320" s="25"/>
      <c r="V320" s="25"/>
      <c r="W320" s="38">
        <v>350400</v>
      </c>
      <c r="X320" s="40">
        <v>3854400</v>
      </c>
      <c r="Y320" s="39"/>
      <c r="Z320" s="25">
        <v>3504000</v>
      </c>
      <c r="AA320" s="13" t="s">
        <v>362</v>
      </c>
      <c r="AB320" s="42">
        <v>40.54</v>
      </c>
      <c r="AC320" s="42">
        <v>6.26</v>
      </c>
      <c r="AD320" s="42">
        <v>73.86</v>
      </c>
      <c r="AE320" s="42">
        <v>80.12</v>
      </c>
      <c r="AF320" s="42">
        <v>120.66</v>
      </c>
    </row>
    <row r="321" spans="1:32">
      <c r="A321" s="24" t="s">
        <v>288</v>
      </c>
      <c r="B321" s="23" t="s">
        <v>436</v>
      </c>
      <c r="C321" s="126" t="s">
        <v>406</v>
      </c>
      <c r="D321" s="23">
        <v>107.41</v>
      </c>
      <c r="E321" s="17">
        <v>32.491524999999996</v>
      </c>
      <c r="F321" s="18">
        <v>234.33999999999997</v>
      </c>
      <c r="G321" s="17">
        <v>70.887849999999986</v>
      </c>
      <c r="H321" s="45">
        <v>42.65</v>
      </c>
      <c r="I321" s="45">
        <v>12.901624999999999</v>
      </c>
      <c r="J321" s="45">
        <v>84.28</v>
      </c>
      <c r="K321" s="45">
        <v>25.494699999999998</v>
      </c>
      <c r="L321" s="45">
        <v>126.92999999999999</v>
      </c>
      <c r="M321" s="45">
        <v>38.396324999999997</v>
      </c>
      <c r="N321" s="23">
        <v>35.520000000000003</v>
      </c>
      <c r="O321" s="17">
        <v>10.744800000000001</v>
      </c>
      <c r="P321" s="25">
        <v>51997.627237954046</v>
      </c>
      <c r="Q321" s="25">
        <v>3686000</v>
      </c>
      <c r="R321" s="25">
        <v>36860000</v>
      </c>
      <c r="S321" s="25"/>
      <c r="T321" s="25"/>
      <c r="U321" s="25"/>
      <c r="V321" s="25"/>
      <c r="W321" s="38">
        <v>368600</v>
      </c>
      <c r="X321" s="40">
        <v>4054600</v>
      </c>
      <c r="Y321" s="39"/>
      <c r="Z321" s="25">
        <v>3686000</v>
      </c>
      <c r="AA321" s="13" t="s">
        <v>362</v>
      </c>
      <c r="AB321" s="42">
        <v>42.65</v>
      </c>
      <c r="AC321" s="42">
        <v>6.59</v>
      </c>
      <c r="AD321" s="42">
        <v>77.69</v>
      </c>
      <c r="AE321" s="42">
        <v>84.28</v>
      </c>
      <c r="AF321" s="42">
        <v>126.92999999999999</v>
      </c>
    </row>
    <row r="322" spans="1:32" s="92" customFormat="1">
      <c r="A322" s="84"/>
      <c r="B322" s="84"/>
      <c r="C322" s="127" t="s">
        <v>476</v>
      </c>
      <c r="D322" s="84">
        <v>783.3</v>
      </c>
      <c r="E322" s="85">
        <v>236.94824999999997</v>
      </c>
      <c r="F322" s="73">
        <v>1816.95</v>
      </c>
      <c r="G322" s="85">
        <v>549.62737500000003</v>
      </c>
      <c r="H322" s="74">
        <v>419.02</v>
      </c>
      <c r="I322" s="74">
        <v>126.75354999999999</v>
      </c>
      <c r="J322" s="74">
        <v>614.63000000000011</v>
      </c>
      <c r="K322" s="74">
        <v>185.92557500000004</v>
      </c>
      <c r="L322" s="74">
        <v>1033.6500000000001</v>
      </c>
      <c r="M322" s="74">
        <v>312.679125</v>
      </c>
      <c r="N322" s="84">
        <v>259.02</v>
      </c>
      <c r="O322" s="85">
        <v>78.353549999999998</v>
      </c>
      <c r="P322" s="37"/>
      <c r="Q322" s="37"/>
      <c r="R322" s="37"/>
      <c r="S322" s="86">
        <v>10200000</v>
      </c>
      <c r="T322" s="86">
        <v>2522789550</v>
      </c>
      <c r="U322" s="86">
        <v>3083409450.0000005</v>
      </c>
      <c r="V322" s="86">
        <v>5606199000</v>
      </c>
      <c r="W322" s="87">
        <v>308340945.00000006</v>
      </c>
      <c r="X322" s="88">
        <v>5914539945</v>
      </c>
      <c r="Y322" s="89">
        <v>591453994.5</v>
      </c>
      <c r="Z322" s="37"/>
      <c r="AA322" s="90"/>
      <c r="AB322" s="91">
        <v>419.02</v>
      </c>
      <c r="AC322" s="91">
        <v>48.06</v>
      </c>
      <c r="AD322" s="91">
        <v>566.57000000000005</v>
      </c>
      <c r="AE322" s="91">
        <v>614.63000000000011</v>
      </c>
      <c r="AF322" s="91">
        <v>1033.6500000000001</v>
      </c>
    </row>
    <row r="323" spans="1:32" s="92" customFormat="1">
      <c r="A323" s="84"/>
      <c r="B323" s="84"/>
      <c r="C323" s="127" t="s">
        <v>476</v>
      </c>
      <c r="D323" s="84">
        <v>48.51</v>
      </c>
      <c r="E323" s="85">
        <v>14.674275</v>
      </c>
      <c r="F323" s="73">
        <v>112.53</v>
      </c>
      <c r="G323" s="85">
        <v>34.040325000000003</v>
      </c>
      <c r="H323" s="74">
        <v>25.95</v>
      </c>
      <c r="I323" s="74">
        <v>7.8498749999999999</v>
      </c>
      <c r="J323" s="74">
        <v>38.07</v>
      </c>
      <c r="K323" s="74">
        <v>11.516175</v>
      </c>
      <c r="L323" s="74">
        <v>64.02</v>
      </c>
      <c r="M323" s="74">
        <v>19.366049999999998</v>
      </c>
      <c r="N323" s="84">
        <v>16.04</v>
      </c>
      <c r="O323" s="85">
        <v>4.8520999999999992</v>
      </c>
      <c r="P323" s="37"/>
      <c r="Q323" s="37"/>
      <c r="R323" s="37"/>
      <c r="S323" s="86">
        <v>10200000</v>
      </c>
      <c r="T323" s="86">
        <v>156244950</v>
      </c>
      <c r="U323" s="86">
        <v>190966050.00000003</v>
      </c>
      <c r="V323" s="86">
        <v>347211000</v>
      </c>
      <c r="W323" s="87">
        <v>19096605.000000004</v>
      </c>
      <c r="X323" s="88">
        <v>366307605</v>
      </c>
      <c r="Y323" s="89">
        <v>36630760.5</v>
      </c>
      <c r="Z323" s="37"/>
      <c r="AA323" s="90"/>
      <c r="AB323" s="91">
        <v>25.95</v>
      </c>
      <c r="AC323" s="91">
        <v>2.98</v>
      </c>
      <c r="AD323" s="91">
        <v>35.090000000000003</v>
      </c>
      <c r="AE323" s="91">
        <v>38.07</v>
      </c>
      <c r="AF323" s="91">
        <v>64.02</v>
      </c>
    </row>
    <row r="324" spans="1:32" s="92" customFormat="1">
      <c r="A324" s="84"/>
      <c r="B324" s="84"/>
      <c r="C324" s="127" t="s">
        <v>476</v>
      </c>
      <c r="D324" s="84">
        <v>332.39</v>
      </c>
      <c r="E324" s="85">
        <v>100.54797499999999</v>
      </c>
      <c r="F324" s="73">
        <v>771.01</v>
      </c>
      <c r="G324" s="85">
        <v>233.230525</v>
      </c>
      <c r="H324" s="74">
        <v>177.81</v>
      </c>
      <c r="I324" s="74">
        <v>53.787525000000002</v>
      </c>
      <c r="J324" s="74">
        <v>260.81</v>
      </c>
      <c r="K324" s="74">
        <v>78.895025000000004</v>
      </c>
      <c r="L324" s="74">
        <v>438.62</v>
      </c>
      <c r="M324" s="74">
        <v>132.68254999999999</v>
      </c>
      <c r="N324" s="84">
        <v>109.92</v>
      </c>
      <c r="O324" s="85">
        <v>33.250799999999998</v>
      </c>
      <c r="P324" s="37"/>
      <c r="Q324" s="37"/>
      <c r="R324" s="37"/>
      <c r="S324" s="86">
        <v>10200000</v>
      </c>
      <c r="T324" s="86">
        <v>1070527950</v>
      </c>
      <c r="U324" s="86">
        <v>1308423050</v>
      </c>
      <c r="V324" s="86">
        <v>2378951000</v>
      </c>
      <c r="W324" s="87">
        <v>130842305</v>
      </c>
      <c r="X324" s="88">
        <v>2509793305</v>
      </c>
      <c r="Y324" s="89">
        <v>250979330.5</v>
      </c>
      <c r="Z324" s="37"/>
      <c r="AA324" s="90"/>
      <c r="AB324" s="91">
        <v>177.81</v>
      </c>
      <c r="AC324" s="91">
        <v>20.39</v>
      </c>
      <c r="AD324" s="91">
        <v>240.42</v>
      </c>
      <c r="AE324" s="91">
        <v>260.81</v>
      </c>
      <c r="AF324" s="91">
        <v>438.62</v>
      </c>
    </row>
    <row r="325" spans="1:32" s="92" customFormat="1">
      <c r="A325" s="84"/>
      <c r="B325" s="84"/>
      <c r="C325" s="127" t="s">
        <v>476</v>
      </c>
      <c r="D325" s="84">
        <v>87.21</v>
      </c>
      <c r="E325" s="85">
        <v>26.381024999999998</v>
      </c>
      <c r="F325" s="73">
        <v>202.29</v>
      </c>
      <c r="G325" s="85">
        <v>61.192724999999996</v>
      </c>
      <c r="H325" s="74">
        <v>46.65</v>
      </c>
      <c r="I325" s="74">
        <v>14.111624999999998</v>
      </c>
      <c r="J325" s="74">
        <v>68.429999999999993</v>
      </c>
      <c r="K325" s="74">
        <v>20.700074999999998</v>
      </c>
      <c r="L325" s="74">
        <v>115.07999999999998</v>
      </c>
      <c r="M325" s="74">
        <v>34.811699999999995</v>
      </c>
      <c r="N325" s="84">
        <v>28.84</v>
      </c>
      <c r="O325" s="85">
        <v>8.7241</v>
      </c>
      <c r="P325" s="37"/>
      <c r="Q325" s="37"/>
      <c r="R325" s="37"/>
      <c r="S325" s="86">
        <v>10200000</v>
      </c>
      <c r="T325" s="86">
        <v>280874250</v>
      </c>
      <c r="U325" s="86">
        <v>343290750</v>
      </c>
      <c r="V325" s="86">
        <v>624165000</v>
      </c>
      <c r="W325" s="87">
        <v>34329075</v>
      </c>
      <c r="X325" s="88">
        <v>658494075</v>
      </c>
      <c r="Y325" s="89">
        <v>65849407.5</v>
      </c>
      <c r="Z325" s="37"/>
      <c r="AA325" s="90"/>
      <c r="AB325" s="91">
        <v>46.65</v>
      </c>
      <c r="AC325" s="91">
        <v>5.35</v>
      </c>
      <c r="AD325" s="91">
        <v>63.08</v>
      </c>
      <c r="AE325" s="91">
        <v>68.429999999999993</v>
      </c>
      <c r="AF325" s="91">
        <v>115.07999999999998</v>
      </c>
    </row>
    <row r="326" spans="1:32" s="92" customFormat="1">
      <c r="A326" s="84"/>
      <c r="B326" s="84"/>
      <c r="C326" s="127" t="s">
        <v>476</v>
      </c>
      <c r="D326" s="84">
        <v>169.49</v>
      </c>
      <c r="E326" s="85">
        <v>51.270724999999999</v>
      </c>
      <c r="F326" s="73">
        <v>393.15000000000003</v>
      </c>
      <c r="G326" s="85">
        <v>118.927875</v>
      </c>
      <c r="H326" s="74">
        <v>90.67</v>
      </c>
      <c r="I326" s="74">
        <v>27.427675000000001</v>
      </c>
      <c r="J326" s="74">
        <v>132.99</v>
      </c>
      <c r="K326" s="74">
        <v>40.229475000000001</v>
      </c>
      <c r="L326" s="74">
        <v>223.66000000000003</v>
      </c>
      <c r="M326" s="74">
        <v>67.657150000000001</v>
      </c>
      <c r="N326" s="84">
        <v>56.05</v>
      </c>
      <c r="O326" s="85">
        <v>16.955124999999999</v>
      </c>
      <c r="P326" s="37"/>
      <c r="Q326" s="37"/>
      <c r="R326" s="37"/>
      <c r="S326" s="86">
        <v>10200000</v>
      </c>
      <c r="T326" s="86">
        <v>545878800</v>
      </c>
      <c r="U326" s="86">
        <v>667185200</v>
      </c>
      <c r="V326" s="86">
        <v>1213064000</v>
      </c>
      <c r="W326" s="87">
        <v>66718520</v>
      </c>
      <c r="X326" s="88">
        <v>1279782520</v>
      </c>
      <c r="Y326" s="89">
        <v>127978252</v>
      </c>
      <c r="Z326" s="37"/>
      <c r="AA326" s="90"/>
      <c r="AB326" s="91">
        <v>90.67</v>
      </c>
      <c r="AC326" s="91">
        <v>10.4</v>
      </c>
      <c r="AD326" s="91">
        <v>122.59</v>
      </c>
      <c r="AE326" s="91">
        <v>132.99</v>
      </c>
      <c r="AF326" s="91">
        <v>223.66000000000003</v>
      </c>
    </row>
    <row r="327" spans="1:32">
      <c r="A327" s="419" t="s">
        <v>431</v>
      </c>
      <c r="B327" s="420"/>
      <c r="C327" s="125">
        <v>26</v>
      </c>
      <c r="D327" s="29">
        <v>3257.1600000000008</v>
      </c>
      <c r="E327" s="29">
        <v>985.29090000000008</v>
      </c>
      <c r="F327" s="29">
        <v>7302.0499999999984</v>
      </c>
      <c r="G327" s="29">
        <v>2208.8701249999999</v>
      </c>
      <c r="H327" s="29">
        <v>1489.1</v>
      </c>
      <c r="I327" s="29">
        <v>450.45275000000009</v>
      </c>
      <c r="J327" s="29">
        <v>2555.79</v>
      </c>
      <c r="K327" s="29">
        <v>773.12647500000003</v>
      </c>
      <c r="L327" s="29">
        <v>4044.8899999999994</v>
      </c>
      <c r="M327" s="29">
        <v>1223.5792250000002</v>
      </c>
      <c r="N327" s="29">
        <v>1077.06</v>
      </c>
      <c r="O327" s="29">
        <v>325.81064999999995</v>
      </c>
      <c r="P327" s="30">
        <v>52047.639838320087</v>
      </c>
      <c r="Q327" s="30">
        <v>63074000</v>
      </c>
      <c r="R327" s="30">
        <v>630740000</v>
      </c>
      <c r="S327" s="30">
        <v>10199997.97897497</v>
      </c>
      <c r="T327" s="30">
        <v>4576315500</v>
      </c>
      <c r="U327" s="30">
        <v>5593274500</v>
      </c>
      <c r="V327" s="30">
        <v>10169590000</v>
      </c>
      <c r="W327" s="30">
        <v>559327450</v>
      </c>
      <c r="X327" s="30">
        <v>10728917450</v>
      </c>
      <c r="Y327" s="43"/>
      <c r="Z327" s="25"/>
      <c r="AB327" s="42"/>
      <c r="AC327" s="42"/>
      <c r="AD327" s="42"/>
      <c r="AE327" s="42"/>
      <c r="AF327" s="42"/>
    </row>
    <row r="328" spans="1:32">
      <c r="A328" s="24" t="s">
        <v>289</v>
      </c>
      <c r="B328" s="16" t="s">
        <v>436</v>
      </c>
      <c r="C328" s="126" t="s">
        <v>406</v>
      </c>
      <c r="D328" s="23">
        <v>98.06</v>
      </c>
      <c r="E328" s="17">
        <v>29.663149999999998</v>
      </c>
      <c r="F328" s="18">
        <v>213.94</v>
      </c>
      <c r="G328" s="17">
        <v>64.716849999999994</v>
      </c>
      <c r="H328" s="45">
        <v>38.93</v>
      </c>
      <c r="I328" s="45">
        <v>11.776325</v>
      </c>
      <c r="J328" s="45">
        <v>76.95</v>
      </c>
      <c r="K328" s="45">
        <v>23.277374999999999</v>
      </c>
      <c r="L328" s="45">
        <v>115.88000000000001</v>
      </c>
      <c r="M328" s="45">
        <v>35.053699999999999</v>
      </c>
      <c r="N328" s="23">
        <v>32.43</v>
      </c>
      <c r="O328" s="17">
        <v>9.8100749999999994</v>
      </c>
      <c r="P328" s="25">
        <v>52897</v>
      </c>
      <c r="Q328" s="25">
        <v>3423000</v>
      </c>
      <c r="R328" s="25">
        <v>34230000</v>
      </c>
      <c r="S328" s="25"/>
      <c r="T328" s="25"/>
      <c r="U328" s="25"/>
      <c r="V328" s="25"/>
      <c r="W328" s="38">
        <v>342300</v>
      </c>
      <c r="X328" s="40">
        <v>3765300</v>
      </c>
      <c r="Y328" s="39"/>
      <c r="Z328" s="25">
        <v>3423000</v>
      </c>
      <c r="AA328" s="13" t="s">
        <v>407</v>
      </c>
      <c r="AB328" s="42">
        <v>38.93</v>
      </c>
      <c r="AC328" s="42">
        <v>6.02</v>
      </c>
      <c r="AD328" s="42">
        <v>70.930000000000007</v>
      </c>
      <c r="AE328" s="42">
        <v>76.95</v>
      </c>
      <c r="AF328" s="42">
        <v>115.88000000000001</v>
      </c>
    </row>
    <row r="329" spans="1:32">
      <c r="A329" s="24" t="s">
        <v>290</v>
      </c>
      <c r="B329" s="23" t="s">
        <v>436</v>
      </c>
      <c r="C329" s="126" t="s">
        <v>406</v>
      </c>
      <c r="D329" s="23">
        <v>53.02</v>
      </c>
      <c r="E329" s="17">
        <v>16.038550000000001</v>
      </c>
      <c r="F329" s="18">
        <v>115.67000000000002</v>
      </c>
      <c r="G329" s="17">
        <v>34.990175000000001</v>
      </c>
      <c r="H329" s="45">
        <v>21.05</v>
      </c>
      <c r="I329" s="45">
        <v>6.3676250000000003</v>
      </c>
      <c r="J329" s="45">
        <v>41.6</v>
      </c>
      <c r="K329" s="45">
        <v>12.584</v>
      </c>
      <c r="L329" s="45">
        <v>62.650000000000006</v>
      </c>
      <c r="M329" s="45">
        <v>18.951625</v>
      </c>
      <c r="N329" s="23">
        <v>17.53</v>
      </c>
      <c r="O329" s="17">
        <v>5.3028250000000003</v>
      </c>
      <c r="P329" s="25">
        <v>50871</v>
      </c>
      <c r="Q329" s="25">
        <v>1779000</v>
      </c>
      <c r="R329" s="25">
        <v>17790000</v>
      </c>
      <c r="S329" s="25"/>
      <c r="T329" s="25"/>
      <c r="U329" s="25"/>
      <c r="V329" s="25"/>
      <c r="W329" s="38">
        <v>177900</v>
      </c>
      <c r="X329" s="40">
        <v>1956900</v>
      </c>
      <c r="Y329" s="39"/>
      <c r="Z329" s="25">
        <v>1779000</v>
      </c>
      <c r="AA329" s="13" t="s">
        <v>362</v>
      </c>
      <c r="AB329" s="42">
        <v>21.05</v>
      </c>
      <c r="AC329" s="42">
        <v>3.25</v>
      </c>
      <c r="AD329" s="42">
        <v>38.35</v>
      </c>
      <c r="AE329" s="42">
        <v>41.6</v>
      </c>
      <c r="AF329" s="42">
        <v>62.650000000000006</v>
      </c>
    </row>
    <row r="330" spans="1:32">
      <c r="A330" s="24" t="s">
        <v>291</v>
      </c>
      <c r="B330" s="23" t="s">
        <v>436</v>
      </c>
      <c r="C330" s="126" t="s">
        <v>406</v>
      </c>
      <c r="D330" s="23">
        <v>84.56</v>
      </c>
      <c r="E330" s="17">
        <v>25.5794</v>
      </c>
      <c r="F330" s="18">
        <v>184.48</v>
      </c>
      <c r="G330" s="17">
        <v>55.805199999999992</v>
      </c>
      <c r="H330" s="45">
        <v>33.57</v>
      </c>
      <c r="I330" s="45">
        <v>10.154925</v>
      </c>
      <c r="J330" s="45">
        <v>66.349999999999994</v>
      </c>
      <c r="K330" s="45">
        <v>20.070874999999997</v>
      </c>
      <c r="L330" s="45">
        <v>99.919999999999987</v>
      </c>
      <c r="M330" s="45">
        <v>30.225799999999996</v>
      </c>
      <c r="N330" s="23">
        <v>27.96</v>
      </c>
      <c r="O330" s="17">
        <v>8.4579000000000004</v>
      </c>
      <c r="P330" s="25">
        <v>52922</v>
      </c>
      <c r="Q330" s="25">
        <v>2953000</v>
      </c>
      <c r="R330" s="25">
        <v>29530000</v>
      </c>
      <c r="S330" s="25"/>
      <c r="T330" s="25"/>
      <c r="U330" s="25"/>
      <c r="V330" s="25"/>
      <c r="W330" s="38">
        <v>295300</v>
      </c>
      <c r="X330" s="40">
        <v>3248300</v>
      </c>
      <c r="Y330" s="39"/>
      <c r="Z330" s="25">
        <v>2953000</v>
      </c>
      <c r="AA330" s="13" t="s">
        <v>362</v>
      </c>
      <c r="AB330" s="42">
        <v>33.57</v>
      </c>
      <c r="AC330" s="42">
        <v>5.19</v>
      </c>
      <c r="AD330" s="42">
        <v>61.16</v>
      </c>
      <c r="AE330" s="42">
        <v>66.349999999999994</v>
      </c>
      <c r="AF330" s="42">
        <v>99.919999999999987</v>
      </c>
    </row>
    <row r="331" spans="1:32">
      <c r="A331" s="24" t="s">
        <v>292</v>
      </c>
      <c r="B331" s="23" t="s">
        <v>436</v>
      </c>
      <c r="C331" s="126" t="s">
        <v>406</v>
      </c>
      <c r="D331" s="34">
        <v>76.7</v>
      </c>
      <c r="E331" s="17">
        <v>23.201750000000001</v>
      </c>
      <c r="F331" s="18">
        <v>167.33999999999997</v>
      </c>
      <c r="G331" s="17">
        <v>50.620349999999988</v>
      </c>
      <c r="H331" s="45">
        <v>30.45</v>
      </c>
      <c r="I331" s="45">
        <v>9.2111249999999991</v>
      </c>
      <c r="J331" s="45">
        <v>60.19</v>
      </c>
      <c r="K331" s="45">
        <v>18.207474999999999</v>
      </c>
      <c r="L331" s="45">
        <v>90.639999999999986</v>
      </c>
      <c r="M331" s="45">
        <v>27.418599999999994</v>
      </c>
      <c r="N331" s="23">
        <v>25.36</v>
      </c>
      <c r="O331" s="17">
        <v>7.6713999999999993</v>
      </c>
      <c r="P331" s="25">
        <v>50901</v>
      </c>
      <c r="Q331" s="25">
        <v>2576000</v>
      </c>
      <c r="R331" s="25">
        <v>25760000</v>
      </c>
      <c r="S331" s="25"/>
      <c r="T331" s="25"/>
      <c r="U331" s="25"/>
      <c r="V331" s="25"/>
      <c r="W331" s="38">
        <v>257600</v>
      </c>
      <c r="X331" s="40">
        <v>2833600</v>
      </c>
      <c r="Y331" s="39"/>
      <c r="Z331" s="25">
        <v>2576000</v>
      </c>
      <c r="AA331" s="13" t="s">
        <v>362</v>
      </c>
      <c r="AB331" s="42">
        <v>30.45</v>
      </c>
      <c r="AC331" s="42">
        <v>4.71</v>
      </c>
      <c r="AD331" s="42">
        <v>55.48</v>
      </c>
      <c r="AE331" s="42">
        <v>60.19</v>
      </c>
      <c r="AF331" s="42">
        <v>90.639999999999986</v>
      </c>
    </row>
    <row r="332" spans="1:32">
      <c r="A332" s="24" t="s">
        <v>293</v>
      </c>
      <c r="B332" s="23" t="s">
        <v>436</v>
      </c>
      <c r="C332" s="126" t="s">
        <v>406</v>
      </c>
      <c r="D332" s="23">
        <v>81.69</v>
      </c>
      <c r="E332" s="17">
        <v>24.711224999999999</v>
      </c>
      <c r="F332" s="18">
        <v>178.22</v>
      </c>
      <c r="G332" s="17">
        <v>53.911549999999998</v>
      </c>
      <c r="H332" s="45">
        <v>32.43</v>
      </c>
      <c r="I332" s="45">
        <v>9.8100749999999994</v>
      </c>
      <c r="J332" s="45">
        <v>64.100000000000009</v>
      </c>
      <c r="K332" s="45">
        <v>19.390250000000002</v>
      </c>
      <c r="L332" s="45">
        <v>96.53</v>
      </c>
      <c r="M332" s="45">
        <v>29.200324999999999</v>
      </c>
      <c r="N332" s="23">
        <v>27.01</v>
      </c>
      <c r="O332" s="17">
        <v>8.1705249999999996</v>
      </c>
      <c r="P332" s="25">
        <v>52926</v>
      </c>
      <c r="Q332" s="25">
        <v>2853000</v>
      </c>
      <c r="R332" s="25">
        <v>28530000</v>
      </c>
      <c r="S332" s="25"/>
      <c r="T332" s="25"/>
      <c r="U332" s="25"/>
      <c r="V332" s="25"/>
      <c r="W332" s="38">
        <v>285300</v>
      </c>
      <c r="X332" s="40">
        <v>3138300</v>
      </c>
      <c r="Y332" s="39"/>
      <c r="Z332" s="25">
        <v>2853000</v>
      </c>
      <c r="AA332" s="13" t="s">
        <v>362</v>
      </c>
      <c r="AB332" s="42">
        <v>32.43</v>
      </c>
      <c r="AC332" s="42">
        <v>5.01</v>
      </c>
      <c r="AD332" s="42">
        <v>59.09</v>
      </c>
      <c r="AE332" s="42">
        <v>64.100000000000009</v>
      </c>
      <c r="AF332" s="42">
        <v>96.53</v>
      </c>
    </row>
    <row r="333" spans="1:32">
      <c r="A333" s="24" t="s">
        <v>294</v>
      </c>
      <c r="B333" s="23" t="s">
        <v>436</v>
      </c>
      <c r="C333" s="126" t="s">
        <v>406</v>
      </c>
      <c r="D333" s="23">
        <v>81.69</v>
      </c>
      <c r="E333" s="17">
        <v>24.711224999999999</v>
      </c>
      <c r="F333" s="18">
        <v>178.22</v>
      </c>
      <c r="G333" s="17">
        <v>53.911549999999998</v>
      </c>
      <c r="H333" s="45">
        <v>32.43</v>
      </c>
      <c r="I333" s="45">
        <v>9.8100749999999994</v>
      </c>
      <c r="J333" s="45">
        <v>64.100000000000009</v>
      </c>
      <c r="K333" s="45">
        <v>19.390250000000002</v>
      </c>
      <c r="L333" s="45">
        <v>96.53</v>
      </c>
      <c r="M333" s="45">
        <v>29.200324999999999</v>
      </c>
      <c r="N333" s="23">
        <v>27.01</v>
      </c>
      <c r="O333" s="17">
        <v>8.1705249999999996</v>
      </c>
      <c r="P333" s="25">
        <v>52926</v>
      </c>
      <c r="Q333" s="25">
        <v>2853000</v>
      </c>
      <c r="R333" s="25">
        <v>28530000</v>
      </c>
      <c r="S333" s="25"/>
      <c r="T333" s="25"/>
      <c r="U333" s="25"/>
      <c r="V333" s="25"/>
      <c r="W333" s="38">
        <v>285300</v>
      </c>
      <c r="X333" s="40">
        <v>3138300</v>
      </c>
      <c r="Y333" s="39"/>
      <c r="Z333" s="25">
        <v>2853000</v>
      </c>
      <c r="AA333" s="13" t="s">
        <v>362</v>
      </c>
      <c r="AB333" s="42">
        <v>32.43</v>
      </c>
      <c r="AC333" s="42">
        <v>5.01</v>
      </c>
      <c r="AD333" s="42">
        <v>59.09</v>
      </c>
      <c r="AE333" s="42">
        <v>64.100000000000009</v>
      </c>
      <c r="AF333" s="42">
        <v>96.53</v>
      </c>
    </row>
    <row r="334" spans="1:32">
      <c r="A334" s="24" t="s">
        <v>295</v>
      </c>
      <c r="B334" s="23" t="s">
        <v>436</v>
      </c>
      <c r="C334" s="126" t="s">
        <v>406</v>
      </c>
      <c r="D334" s="23">
        <v>81.69</v>
      </c>
      <c r="E334" s="17">
        <v>24.711224999999999</v>
      </c>
      <c r="F334" s="18">
        <v>178.22</v>
      </c>
      <c r="G334" s="17">
        <v>53.911549999999998</v>
      </c>
      <c r="H334" s="45">
        <v>32.43</v>
      </c>
      <c r="I334" s="45">
        <v>9.8100749999999994</v>
      </c>
      <c r="J334" s="45">
        <v>64.100000000000009</v>
      </c>
      <c r="K334" s="45">
        <v>19.390250000000002</v>
      </c>
      <c r="L334" s="45">
        <v>96.53</v>
      </c>
      <c r="M334" s="45">
        <v>29.200324999999999</v>
      </c>
      <c r="N334" s="23">
        <v>27.01</v>
      </c>
      <c r="O334" s="17">
        <v>8.1705249999999996</v>
      </c>
      <c r="P334" s="25">
        <v>52926</v>
      </c>
      <c r="Q334" s="25">
        <v>2853000</v>
      </c>
      <c r="R334" s="25">
        <v>28530000</v>
      </c>
      <c r="S334" s="25"/>
      <c r="T334" s="25"/>
      <c r="U334" s="25"/>
      <c r="V334" s="25"/>
      <c r="W334" s="38">
        <v>285300</v>
      </c>
      <c r="X334" s="40">
        <v>3138300</v>
      </c>
      <c r="Y334" s="39"/>
      <c r="Z334" s="25">
        <v>2853000</v>
      </c>
      <c r="AA334" s="13" t="s">
        <v>362</v>
      </c>
      <c r="AB334" s="42">
        <v>32.43</v>
      </c>
      <c r="AC334" s="42">
        <v>5.01</v>
      </c>
      <c r="AD334" s="42">
        <v>59.09</v>
      </c>
      <c r="AE334" s="42">
        <v>64.100000000000009</v>
      </c>
      <c r="AF334" s="42">
        <v>96.53</v>
      </c>
    </row>
    <row r="335" spans="1:32">
      <c r="A335" s="24" t="s">
        <v>296</v>
      </c>
      <c r="B335" s="23" t="s">
        <v>436</v>
      </c>
      <c r="C335" s="126" t="s">
        <v>406</v>
      </c>
      <c r="D335" s="23">
        <v>81.69</v>
      </c>
      <c r="E335" s="17">
        <v>24.711224999999999</v>
      </c>
      <c r="F335" s="18">
        <v>178.22</v>
      </c>
      <c r="G335" s="17">
        <v>53.911549999999998</v>
      </c>
      <c r="H335" s="45">
        <v>32.43</v>
      </c>
      <c r="I335" s="45">
        <v>9.8100749999999994</v>
      </c>
      <c r="J335" s="45">
        <v>64.100000000000009</v>
      </c>
      <c r="K335" s="45">
        <v>19.390250000000002</v>
      </c>
      <c r="L335" s="45">
        <v>96.53</v>
      </c>
      <c r="M335" s="45">
        <v>29.200324999999999</v>
      </c>
      <c r="N335" s="23">
        <v>27.01</v>
      </c>
      <c r="O335" s="17">
        <v>8.1705249999999996</v>
      </c>
      <c r="P335" s="25">
        <v>52926</v>
      </c>
      <c r="Q335" s="25">
        <v>2853000</v>
      </c>
      <c r="R335" s="25">
        <v>28530000</v>
      </c>
      <c r="S335" s="25"/>
      <c r="T335" s="25"/>
      <c r="U335" s="25"/>
      <c r="V335" s="25"/>
      <c r="W335" s="38">
        <v>285300</v>
      </c>
      <c r="X335" s="40">
        <v>3138300</v>
      </c>
      <c r="Y335" s="39"/>
      <c r="Z335" s="25">
        <v>2853000</v>
      </c>
      <c r="AA335" s="13" t="s">
        <v>362</v>
      </c>
      <c r="AB335" s="42">
        <v>32.43</v>
      </c>
      <c r="AC335" s="42">
        <v>5.01</v>
      </c>
      <c r="AD335" s="42">
        <v>59.09</v>
      </c>
      <c r="AE335" s="42">
        <v>64.100000000000009</v>
      </c>
      <c r="AF335" s="42">
        <v>96.53</v>
      </c>
    </row>
    <row r="336" spans="1:32">
      <c r="A336" s="24" t="s">
        <v>297</v>
      </c>
      <c r="B336" s="23" t="s">
        <v>436</v>
      </c>
      <c r="C336" s="126" t="s">
        <v>406</v>
      </c>
      <c r="D336" s="23">
        <v>66.97</v>
      </c>
      <c r="E336" s="17">
        <v>20.258424999999999</v>
      </c>
      <c r="F336" s="18">
        <v>146.11000000000001</v>
      </c>
      <c r="G336" s="17">
        <v>44.198275000000002</v>
      </c>
      <c r="H336" s="45">
        <v>26.59</v>
      </c>
      <c r="I336" s="45">
        <v>8.043474999999999</v>
      </c>
      <c r="J336" s="45">
        <v>52.55</v>
      </c>
      <c r="K336" s="45">
        <v>15.896374999999999</v>
      </c>
      <c r="L336" s="45">
        <v>79.14</v>
      </c>
      <c r="M336" s="45">
        <v>23.93985</v>
      </c>
      <c r="N336" s="23">
        <v>22.15</v>
      </c>
      <c r="O336" s="17">
        <v>6.7003749999999993</v>
      </c>
      <c r="P336" s="25">
        <v>50906</v>
      </c>
      <c r="Q336" s="25">
        <v>2249000</v>
      </c>
      <c r="R336" s="25">
        <v>22490000</v>
      </c>
      <c r="S336" s="25"/>
      <c r="T336" s="25"/>
      <c r="U336" s="25"/>
      <c r="V336" s="25"/>
      <c r="W336" s="38">
        <v>224900</v>
      </c>
      <c r="X336" s="40">
        <v>2473900</v>
      </c>
      <c r="Y336" s="39"/>
      <c r="Z336" s="25">
        <v>2249000</v>
      </c>
      <c r="AA336" s="13" t="s">
        <v>362</v>
      </c>
      <c r="AB336" s="42">
        <v>26.59</v>
      </c>
      <c r="AC336" s="42">
        <v>4.1100000000000003</v>
      </c>
      <c r="AD336" s="42">
        <v>48.44</v>
      </c>
      <c r="AE336" s="42">
        <v>52.55</v>
      </c>
      <c r="AF336" s="42">
        <v>79.14</v>
      </c>
    </row>
    <row r="337" spans="1:32">
      <c r="A337" s="24" t="s">
        <v>298</v>
      </c>
      <c r="B337" s="23" t="s">
        <v>436</v>
      </c>
      <c r="C337" s="126" t="s">
        <v>406</v>
      </c>
      <c r="D337" s="23">
        <v>81.69</v>
      </c>
      <c r="E337" s="17">
        <v>24.711224999999999</v>
      </c>
      <c r="F337" s="18">
        <v>178.22</v>
      </c>
      <c r="G337" s="17">
        <v>53.911549999999998</v>
      </c>
      <c r="H337" s="45">
        <v>32.43</v>
      </c>
      <c r="I337" s="45">
        <v>9.8100749999999994</v>
      </c>
      <c r="J337" s="45">
        <v>64.100000000000009</v>
      </c>
      <c r="K337" s="45">
        <v>19.390250000000002</v>
      </c>
      <c r="L337" s="45">
        <v>96.53</v>
      </c>
      <c r="M337" s="45">
        <v>29.200324999999999</v>
      </c>
      <c r="N337" s="23">
        <v>27.01</v>
      </c>
      <c r="O337" s="17">
        <v>8.1705249999999996</v>
      </c>
      <c r="P337" s="25">
        <v>52926</v>
      </c>
      <c r="Q337" s="25">
        <v>2853000</v>
      </c>
      <c r="R337" s="25">
        <v>28530000</v>
      </c>
      <c r="S337" s="25"/>
      <c r="T337" s="25"/>
      <c r="U337" s="25"/>
      <c r="V337" s="25"/>
      <c r="W337" s="38">
        <v>285300</v>
      </c>
      <c r="X337" s="40">
        <v>3138300</v>
      </c>
      <c r="Y337" s="39"/>
      <c r="Z337" s="25">
        <v>2853000</v>
      </c>
      <c r="AA337" s="13" t="s">
        <v>362</v>
      </c>
      <c r="AB337" s="42">
        <v>32.43</v>
      </c>
      <c r="AC337" s="42">
        <v>5.01</v>
      </c>
      <c r="AD337" s="42">
        <v>59.09</v>
      </c>
      <c r="AE337" s="42">
        <v>64.100000000000009</v>
      </c>
      <c r="AF337" s="42">
        <v>96.53</v>
      </c>
    </row>
    <row r="338" spans="1:32">
      <c r="A338" s="24" t="s">
        <v>299</v>
      </c>
      <c r="B338" s="23" t="s">
        <v>436</v>
      </c>
      <c r="C338" s="126" t="s">
        <v>406</v>
      </c>
      <c r="D338" s="23">
        <v>81.69</v>
      </c>
      <c r="E338" s="17">
        <v>24.711224999999999</v>
      </c>
      <c r="F338" s="18">
        <v>178.22</v>
      </c>
      <c r="G338" s="17">
        <v>53.911549999999998</v>
      </c>
      <c r="H338" s="45">
        <v>32.43</v>
      </c>
      <c r="I338" s="45">
        <v>9.8100749999999994</v>
      </c>
      <c r="J338" s="45">
        <v>64.100000000000009</v>
      </c>
      <c r="K338" s="45">
        <v>19.390250000000002</v>
      </c>
      <c r="L338" s="45">
        <v>96.53</v>
      </c>
      <c r="M338" s="45">
        <v>29.200324999999999</v>
      </c>
      <c r="N338" s="23">
        <v>27.01</v>
      </c>
      <c r="O338" s="17">
        <v>8.1705249999999996</v>
      </c>
      <c r="P338" s="25">
        <v>52926</v>
      </c>
      <c r="Q338" s="25">
        <v>2853000</v>
      </c>
      <c r="R338" s="25">
        <v>28530000</v>
      </c>
      <c r="S338" s="25"/>
      <c r="T338" s="25"/>
      <c r="U338" s="25"/>
      <c r="V338" s="25"/>
      <c r="W338" s="38">
        <v>285300</v>
      </c>
      <c r="X338" s="40">
        <v>3138300</v>
      </c>
      <c r="Y338" s="39"/>
      <c r="Z338" s="25">
        <v>2853000</v>
      </c>
      <c r="AA338" s="13" t="s">
        <v>362</v>
      </c>
      <c r="AB338" s="42">
        <v>32.43</v>
      </c>
      <c r="AC338" s="42">
        <v>5.01</v>
      </c>
      <c r="AD338" s="42">
        <v>59.09</v>
      </c>
      <c r="AE338" s="42">
        <v>64.100000000000009</v>
      </c>
      <c r="AF338" s="42">
        <v>96.53</v>
      </c>
    </row>
    <row r="339" spans="1:32">
      <c r="A339" s="24" t="s">
        <v>300</v>
      </c>
      <c r="B339" s="23" t="s">
        <v>436</v>
      </c>
      <c r="C339" s="126" t="s">
        <v>406</v>
      </c>
      <c r="D339" s="23">
        <v>119.62</v>
      </c>
      <c r="E339" s="17">
        <v>36.185049999999997</v>
      </c>
      <c r="F339" s="18">
        <v>260.97000000000003</v>
      </c>
      <c r="G339" s="17">
        <v>78.943425000000005</v>
      </c>
      <c r="H339" s="45">
        <v>47.49</v>
      </c>
      <c r="I339" s="45">
        <v>14.365724999999999</v>
      </c>
      <c r="J339" s="45">
        <v>93.86</v>
      </c>
      <c r="K339" s="45">
        <v>28.39265</v>
      </c>
      <c r="L339" s="45">
        <v>141.35</v>
      </c>
      <c r="M339" s="45">
        <v>42.758374999999994</v>
      </c>
      <c r="N339" s="23">
        <v>39.56</v>
      </c>
      <c r="O339" s="17">
        <v>11.966900000000001</v>
      </c>
      <c r="P339" s="25">
        <v>52907</v>
      </c>
      <c r="Q339" s="25">
        <v>4176000</v>
      </c>
      <c r="R339" s="25">
        <v>41760000</v>
      </c>
      <c r="S339" s="25"/>
      <c r="T339" s="25"/>
      <c r="U339" s="25"/>
      <c r="V339" s="25"/>
      <c r="W339" s="38">
        <v>417600</v>
      </c>
      <c r="X339" s="40">
        <v>4593600</v>
      </c>
      <c r="Y339" s="39"/>
      <c r="Z339" s="25">
        <v>4176000</v>
      </c>
      <c r="AA339" s="13" t="s">
        <v>362</v>
      </c>
      <c r="AB339" s="42">
        <v>47.49</v>
      </c>
      <c r="AC339" s="42">
        <v>7.34</v>
      </c>
      <c r="AD339" s="42">
        <v>86.52</v>
      </c>
      <c r="AE339" s="42">
        <v>93.86</v>
      </c>
      <c r="AF339" s="42">
        <v>141.35</v>
      </c>
    </row>
    <row r="340" spans="1:32">
      <c r="A340" s="24" t="s">
        <v>301</v>
      </c>
      <c r="B340" s="23" t="s">
        <v>436</v>
      </c>
      <c r="C340" s="126" t="s">
        <v>406</v>
      </c>
      <c r="D340" s="34">
        <v>109.6</v>
      </c>
      <c r="E340" s="17">
        <v>33.153999999999996</v>
      </c>
      <c r="F340" s="18">
        <v>239.10999999999999</v>
      </c>
      <c r="G340" s="17">
        <v>72.330774999999988</v>
      </c>
      <c r="H340" s="45">
        <v>43.51</v>
      </c>
      <c r="I340" s="45">
        <v>13.161774999999999</v>
      </c>
      <c r="J340" s="45">
        <v>86</v>
      </c>
      <c r="K340" s="45">
        <v>26.015000000000001</v>
      </c>
      <c r="L340" s="45">
        <v>129.51</v>
      </c>
      <c r="M340" s="45">
        <v>39.176774999999999</v>
      </c>
      <c r="N340" s="23">
        <v>36.24</v>
      </c>
      <c r="O340" s="17">
        <v>10.9626</v>
      </c>
      <c r="P340" s="25">
        <v>52905</v>
      </c>
      <c r="Q340" s="25">
        <v>3826000</v>
      </c>
      <c r="R340" s="25">
        <v>38260000</v>
      </c>
      <c r="S340" s="25"/>
      <c r="T340" s="25"/>
      <c r="U340" s="25"/>
      <c r="V340" s="25"/>
      <c r="W340" s="38">
        <v>382600</v>
      </c>
      <c r="X340" s="40">
        <v>4208600</v>
      </c>
      <c r="Y340" s="39"/>
      <c r="Z340" s="25">
        <v>3826000</v>
      </c>
      <c r="AA340" s="13" t="s">
        <v>362</v>
      </c>
      <c r="AB340" s="42">
        <v>43.51</v>
      </c>
      <c r="AC340" s="42">
        <v>6.72</v>
      </c>
      <c r="AD340" s="42">
        <v>79.28</v>
      </c>
      <c r="AE340" s="42">
        <v>86</v>
      </c>
      <c r="AF340" s="42">
        <v>129.51</v>
      </c>
    </row>
    <row r="341" spans="1:32">
      <c r="A341" s="24" t="s">
        <v>302</v>
      </c>
      <c r="B341" s="23" t="s">
        <v>436</v>
      </c>
      <c r="C341" s="126" t="s">
        <v>406</v>
      </c>
      <c r="D341" s="23">
        <v>119.62</v>
      </c>
      <c r="E341" s="17">
        <v>36.185049999999997</v>
      </c>
      <c r="F341" s="18">
        <v>260.97000000000003</v>
      </c>
      <c r="G341" s="17">
        <v>78.943425000000005</v>
      </c>
      <c r="H341" s="45">
        <v>47.49</v>
      </c>
      <c r="I341" s="45">
        <v>14.365724999999999</v>
      </c>
      <c r="J341" s="45">
        <v>93.86</v>
      </c>
      <c r="K341" s="45">
        <v>28.39265</v>
      </c>
      <c r="L341" s="45">
        <v>141.35</v>
      </c>
      <c r="M341" s="45">
        <v>42.758374999999994</v>
      </c>
      <c r="N341" s="23">
        <v>39.56</v>
      </c>
      <c r="O341" s="17">
        <v>11.966900000000001</v>
      </c>
      <c r="P341" s="25">
        <v>52907</v>
      </c>
      <c r="Q341" s="25">
        <v>4176000</v>
      </c>
      <c r="R341" s="25">
        <v>41760000</v>
      </c>
      <c r="S341" s="25"/>
      <c r="T341" s="25"/>
      <c r="U341" s="25"/>
      <c r="V341" s="25"/>
      <c r="W341" s="38">
        <v>417600</v>
      </c>
      <c r="X341" s="40">
        <v>4593600</v>
      </c>
      <c r="Y341" s="39"/>
      <c r="Z341" s="25">
        <v>4176000</v>
      </c>
      <c r="AA341" s="13" t="s">
        <v>362</v>
      </c>
      <c r="AB341" s="42">
        <v>47.49</v>
      </c>
      <c r="AC341" s="42">
        <v>7.34</v>
      </c>
      <c r="AD341" s="42">
        <v>86.52</v>
      </c>
      <c r="AE341" s="42">
        <v>93.86</v>
      </c>
      <c r="AF341" s="42">
        <v>141.35</v>
      </c>
    </row>
    <row r="342" spans="1:32">
      <c r="A342" s="24" t="s">
        <v>303</v>
      </c>
      <c r="B342" s="23" t="s">
        <v>436</v>
      </c>
      <c r="C342" s="126" t="s">
        <v>406</v>
      </c>
      <c r="D342" s="23">
        <v>81.69</v>
      </c>
      <c r="E342" s="17">
        <v>24.711224999999999</v>
      </c>
      <c r="F342" s="18">
        <v>178.22</v>
      </c>
      <c r="G342" s="17">
        <v>53.911549999999998</v>
      </c>
      <c r="H342" s="45">
        <v>32.43</v>
      </c>
      <c r="I342" s="45">
        <v>9.8100749999999994</v>
      </c>
      <c r="J342" s="45">
        <v>64.100000000000009</v>
      </c>
      <c r="K342" s="45">
        <v>19.390250000000002</v>
      </c>
      <c r="L342" s="45">
        <v>96.53</v>
      </c>
      <c r="M342" s="45">
        <v>29.200324999999999</v>
      </c>
      <c r="N342" s="23">
        <v>27.01</v>
      </c>
      <c r="O342" s="17">
        <v>8.1705249999999996</v>
      </c>
      <c r="P342" s="25">
        <v>52926</v>
      </c>
      <c r="Q342" s="25">
        <v>2853000</v>
      </c>
      <c r="R342" s="25">
        <v>28530000</v>
      </c>
      <c r="S342" s="25"/>
      <c r="T342" s="25"/>
      <c r="U342" s="25"/>
      <c r="V342" s="25"/>
      <c r="W342" s="38">
        <v>285300</v>
      </c>
      <c r="X342" s="40">
        <v>3138300</v>
      </c>
      <c r="Y342" s="39"/>
      <c r="Z342" s="25">
        <v>2853000</v>
      </c>
      <c r="AA342" s="13" t="s">
        <v>362</v>
      </c>
      <c r="AB342" s="42">
        <v>32.43</v>
      </c>
      <c r="AC342" s="42">
        <v>5.01</v>
      </c>
      <c r="AD342" s="42">
        <v>59.09</v>
      </c>
      <c r="AE342" s="42">
        <v>64.100000000000009</v>
      </c>
      <c r="AF342" s="42">
        <v>96.53</v>
      </c>
    </row>
    <row r="343" spans="1:32">
      <c r="A343" s="24" t="s">
        <v>304</v>
      </c>
      <c r="B343" s="23" t="s">
        <v>436</v>
      </c>
      <c r="C343" s="126" t="s">
        <v>406</v>
      </c>
      <c r="D343" s="23">
        <v>81.69</v>
      </c>
      <c r="E343" s="17">
        <v>24.711224999999999</v>
      </c>
      <c r="F343" s="18">
        <v>178.22</v>
      </c>
      <c r="G343" s="17">
        <v>53.911549999999998</v>
      </c>
      <c r="H343" s="45">
        <v>32.43</v>
      </c>
      <c r="I343" s="45">
        <v>9.8100749999999994</v>
      </c>
      <c r="J343" s="45">
        <v>64.100000000000009</v>
      </c>
      <c r="K343" s="45">
        <v>19.390250000000002</v>
      </c>
      <c r="L343" s="45">
        <v>96.53</v>
      </c>
      <c r="M343" s="45">
        <v>29.200324999999999</v>
      </c>
      <c r="N343" s="23">
        <v>27.01</v>
      </c>
      <c r="O343" s="17">
        <v>8.1705249999999996</v>
      </c>
      <c r="P343" s="25">
        <v>52926</v>
      </c>
      <c r="Q343" s="25">
        <v>2853000</v>
      </c>
      <c r="R343" s="25">
        <v>28530000</v>
      </c>
      <c r="S343" s="25"/>
      <c r="T343" s="25"/>
      <c r="U343" s="25"/>
      <c r="V343" s="25"/>
      <c r="W343" s="38">
        <v>285300</v>
      </c>
      <c r="X343" s="40">
        <v>3138300</v>
      </c>
      <c r="Y343" s="39"/>
      <c r="Z343" s="25">
        <v>2853000</v>
      </c>
      <c r="AA343" s="13" t="s">
        <v>362</v>
      </c>
      <c r="AB343" s="42">
        <v>32.43</v>
      </c>
      <c r="AC343" s="42">
        <v>5.01</v>
      </c>
      <c r="AD343" s="42">
        <v>59.09</v>
      </c>
      <c r="AE343" s="42">
        <v>64.100000000000009</v>
      </c>
      <c r="AF343" s="42">
        <v>96.53</v>
      </c>
    </row>
    <row r="344" spans="1:32">
      <c r="A344" s="24" t="s">
        <v>305</v>
      </c>
      <c r="B344" s="23" t="s">
        <v>436</v>
      </c>
      <c r="C344" s="126" t="s">
        <v>406</v>
      </c>
      <c r="D344" s="23">
        <v>81.69</v>
      </c>
      <c r="E344" s="17">
        <v>24.711224999999999</v>
      </c>
      <c r="F344" s="18">
        <v>178.22</v>
      </c>
      <c r="G344" s="17">
        <v>53.911549999999998</v>
      </c>
      <c r="H344" s="45">
        <v>32.43</v>
      </c>
      <c r="I344" s="45">
        <v>9.8100749999999994</v>
      </c>
      <c r="J344" s="45">
        <v>64.100000000000009</v>
      </c>
      <c r="K344" s="45">
        <v>19.390250000000002</v>
      </c>
      <c r="L344" s="45">
        <v>96.53</v>
      </c>
      <c r="M344" s="45">
        <v>29.200324999999999</v>
      </c>
      <c r="N344" s="23">
        <v>27.01</v>
      </c>
      <c r="O344" s="17">
        <v>8.1705249999999996</v>
      </c>
      <c r="P344" s="25">
        <v>52926</v>
      </c>
      <c r="Q344" s="25">
        <v>2853000</v>
      </c>
      <c r="R344" s="25">
        <v>28530000</v>
      </c>
      <c r="S344" s="25"/>
      <c r="T344" s="25"/>
      <c r="U344" s="25"/>
      <c r="V344" s="25"/>
      <c r="W344" s="38">
        <v>285300</v>
      </c>
      <c r="X344" s="40">
        <v>3138300</v>
      </c>
      <c r="Y344" s="39"/>
      <c r="Z344" s="25">
        <v>2853000</v>
      </c>
      <c r="AA344" s="13" t="s">
        <v>362</v>
      </c>
      <c r="AB344" s="42">
        <v>32.43</v>
      </c>
      <c r="AC344" s="42">
        <v>5.01</v>
      </c>
      <c r="AD344" s="42">
        <v>59.09</v>
      </c>
      <c r="AE344" s="42">
        <v>64.100000000000009</v>
      </c>
      <c r="AF344" s="42">
        <v>96.53</v>
      </c>
    </row>
    <row r="345" spans="1:32">
      <c r="A345" s="24" t="s">
        <v>306</v>
      </c>
      <c r="B345" s="23" t="s">
        <v>436</v>
      </c>
      <c r="C345" s="126" t="s">
        <v>406</v>
      </c>
      <c r="D345" s="23">
        <v>81.69</v>
      </c>
      <c r="E345" s="17">
        <v>24.711224999999999</v>
      </c>
      <c r="F345" s="18">
        <v>178.22</v>
      </c>
      <c r="G345" s="17">
        <v>53.911549999999998</v>
      </c>
      <c r="H345" s="45">
        <v>32.43</v>
      </c>
      <c r="I345" s="45">
        <v>9.8100749999999994</v>
      </c>
      <c r="J345" s="45">
        <v>64.100000000000009</v>
      </c>
      <c r="K345" s="45">
        <v>19.390250000000002</v>
      </c>
      <c r="L345" s="45">
        <v>96.53</v>
      </c>
      <c r="M345" s="45">
        <v>29.200324999999999</v>
      </c>
      <c r="N345" s="23">
        <v>27.01</v>
      </c>
      <c r="O345" s="17">
        <v>8.1705249999999996</v>
      </c>
      <c r="P345" s="25">
        <v>52926</v>
      </c>
      <c r="Q345" s="25">
        <v>2853000</v>
      </c>
      <c r="R345" s="25">
        <v>28530000</v>
      </c>
      <c r="S345" s="25"/>
      <c r="T345" s="25"/>
      <c r="U345" s="25"/>
      <c r="V345" s="25"/>
      <c r="W345" s="38">
        <v>285300</v>
      </c>
      <c r="X345" s="40">
        <v>3138300</v>
      </c>
      <c r="Y345" s="39"/>
      <c r="Z345" s="25">
        <v>2853000</v>
      </c>
      <c r="AA345" s="13" t="s">
        <v>362</v>
      </c>
      <c r="AB345" s="42">
        <v>32.43</v>
      </c>
      <c r="AC345" s="42">
        <v>5.01</v>
      </c>
      <c r="AD345" s="42">
        <v>59.09</v>
      </c>
      <c r="AE345" s="42">
        <v>64.100000000000009</v>
      </c>
      <c r="AF345" s="42">
        <v>96.53</v>
      </c>
    </row>
    <row r="346" spans="1:32">
      <c r="A346" s="24" t="s">
        <v>307</v>
      </c>
      <c r="B346" s="23" t="s">
        <v>436</v>
      </c>
      <c r="C346" s="126" t="s">
        <v>406</v>
      </c>
      <c r="D346" s="23">
        <v>81.69</v>
      </c>
      <c r="E346" s="17">
        <v>24.711224999999999</v>
      </c>
      <c r="F346" s="18">
        <v>178.22</v>
      </c>
      <c r="G346" s="17">
        <v>53.911549999999998</v>
      </c>
      <c r="H346" s="45">
        <v>32.43</v>
      </c>
      <c r="I346" s="45">
        <v>9.8100749999999994</v>
      </c>
      <c r="J346" s="45">
        <v>64.100000000000009</v>
      </c>
      <c r="K346" s="45">
        <v>19.390250000000002</v>
      </c>
      <c r="L346" s="45">
        <v>96.53</v>
      </c>
      <c r="M346" s="45">
        <v>29.200324999999999</v>
      </c>
      <c r="N346" s="23">
        <v>27.01</v>
      </c>
      <c r="O346" s="17">
        <v>8.1705249999999996</v>
      </c>
      <c r="P346" s="25">
        <v>52926</v>
      </c>
      <c r="Q346" s="25">
        <v>2853000</v>
      </c>
      <c r="R346" s="25">
        <v>28530000</v>
      </c>
      <c r="S346" s="25"/>
      <c r="T346" s="25"/>
      <c r="U346" s="25"/>
      <c r="V346" s="25"/>
      <c r="W346" s="38">
        <v>285300</v>
      </c>
      <c r="X346" s="40">
        <v>3138300</v>
      </c>
      <c r="Y346" s="39"/>
      <c r="Z346" s="25">
        <v>2853000</v>
      </c>
      <c r="AA346" s="13" t="s">
        <v>362</v>
      </c>
      <c r="AB346" s="42">
        <v>32.43</v>
      </c>
      <c r="AC346" s="42">
        <v>5.01</v>
      </c>
      <c r="AD346" s="42">
        <v>59.09</v>
      </c>
      <c r="AE346" s="42">
        <v>64.100000000000009</v>
      </c>
      <c r="AF346" s="42">
        <v>96.53</v>
      </c>
    </row>
    <row r="347" spans="1:32">
      <c r="A347" s="24" t="s">
        <v>308</v>
      </c>
      <c r="B347" s="23" t="s">
        <v>436</v>
      </c>
      <c r="C347" s="126" t="s">
        <v>406</v>
      </c>
      <c r="D347" s="23">
        <v>102.11</v>
      </c>
      <c r="E347" s="17">
        <v>30.888275</v>
      </c>
      <c r="F347" s="18">
        <v>222.76999999999998</v>
      </c>
      <c r="G347" s="17">
        <v>67.387924999999996</v>
      </c>
      <c r="H347" s="45">
        <v>40.54</v>
      </c>
      <c r="I347" s="45">
        <v>12.263349999999999</v>
      </c>
      <c r="J347" s="45">
        <v>80.12</v>
      </c>
      <c r="K347" s="45">
        <v>24.2363</v>
      </c>
      <c r="L347" s="45">
        <v>120.66</v>
      </c>
      <c r="M347" s="45">
        <v>36.499649999999995</v>
      </c>
      <c r="N347" s="23">
        <v>33.770000000000003</v>
      </c>
      <c r="O347" s="17">
        <v>10.215425000000002</v>
      </c>
      <c r="P347" s="25">
        <v>52927</v>
      </c>
      <c r="Q347" s="25">
        <v>3566000</v>
      </c>
      <c r="R347" s="25">
        <v>35660000</v>
      </c>
      <c r="S347" s="25"/>
      <c r="T347" s="25"/>
      <c r="U347" s="25"/>
      <c r="V347" s="25"/>
      <c r="W347" s="38">
        <v>356600</v>
      </c>
      <c r="X347" s="40">
        <v>3922600</v>
      </c>
      <c r="Y347" s="39"/>
      <c r="Z347" s="25">
        <v>3566000</v>
      </c>
      <c r="AA347" s="13" t="s">
        <v>362</v>
      </c>
      <c r="AB347" s="42">
        <v>40.54</v>
      </c>
      <c r="AC347" s="42">
        <v>6.26</v>
      </c>
      <c r="AD347" s="42">
        <v>73.86</v>
      </c>
      <c r="AE347" s="42">
        <v>80.12</v>
      </c>
      <c r="AF347" s="42">
        <v>120.66</v>
      </c>
    </row>
    <row r="348" spans="1:32">
      <c r="A348" s="24" t="s">
        <v>309</v>
      </c>
      <c r="B348" s="23" t="s">
        <v>436</v>
      </c>
      <c r="C348" s="126" t="s">
        <v>406</v>
      </c>
      <c r="D348" s="23">
        <v>107.41</v>
      </c>
      <c r="E348" s="17">
        <v>32.491524999999996</v>
      </c>
      <c r="F348" s="18">
        <v>234.33999999999997</v>
      </c>
      <c r="G348" s="17">
        <v>70.887849999999986</v>
      </c>
      <c r="H348" s="45">
        <v>42.65</v>
      </c>
      <c r="I348" s="45">
        <v>12.901624999999999</v>
      </c>
      <c r="J348" s="45">
        <v>84.28</v>
      </c>
      <c r="K348" s="45">
        <v>25.494699999999998</v>
      </c>
      <c r="L348" s="45">
        <v>126.92999999999999</v>
      </c>
      <c r="M348" s="45">
        <v>38.396324999999997</v>
      </c>
      <c r="N348" s="23">
        <v>35.520000000000003</v>
      </c>
      <c r="O348" s="17">
        <v>10.744800000000001</v>
      </c>
      <c r="P348" s="25">
        <v>52900</v>
      </c>
      <c r="Q348" s="25">
        <v>3749000</v>
      </c>
      <c r="R348" s="25">
        <v>37490000</v>
      </c>
      <c r="S348" s="25"/>
      <c r="T348" s="25"/>
      <c r="U348" s="25"/>
      <c r="V348" s="25"/>
      <c r="W348" s="38">
        <v>374900</v>
      </c>
      <c r="X348" s="40">
        <v>4123900</v>
      </c>
      <c r="Y348" s="39"/>
      <c r="Z348" s="25">
        <v>3749000</v>
      </c>
      <c r="AA348" s="13" t="s">
        <v>362</v>
      </c>
      <c r="AB348" s="42">
        <v>42.65</v>
      </c>
      <c r="AC348" s="42">
        <v>6.59</v>
      </c>
      <c r="AD348" s="42">
        <v>77.69</v>
      </c>
      <c r="AE348" s="42">
        <v>84.28</v>
      </c>
      <c r="AF348" s="42">
        <v>126.92999999999999</v>
      </c>
    </row>
    <row r="349" spans="1:32" s="92" customFormat="1">
      <c r="A349" s="84"/>
      <c r="B349" s="84"/>
      <c r="C349" s="127" t="s">
        <v>476</v>
      </c>
      <c r="D349" s="84">
        <v>783.3</v>
      </c>
      <c r="E349" s="85">
        <v>236.94824999999997</v>
      </c>
      <c r="F349" s="73">
        <v>1816.95</v>
      </c>
      <c r="G349" s="85">
        <v>549.62737500000003</v>
      </c>
      <c r="H349" s="74">
        <v>419.02</v>
      </c>
      <c r="I349" s="74">
        <v>126.75354999999999</v>
      </c>
      <c r="J349" s="74">
        <v>614.63000000000011</v>
      </c>
      <c r="K349" s="74">
        <v>185.92557500000004</v>
      </c>
      <c r="L349" s="74">
        <v>1033.6500000000001</v>
      </c>
      <c r="M349" s="74">
        <v>312.679125</v>
      </c>
      <c r="N349" s="84">
        <v>259.02</v>
      </c>
      <c r="O349" s="85">
        <v>78.353549999999998</v>
      </c>
      <c r="P349" s="37"/>
      <c r="Q349" s="37"/>
      <c r="R349" s="37"/>
      <c r="S349" s="86">
        <v>10400000</v>
      </c>
      <c r="T349" s="86">
        <v>2572255800</v>
      </c>
      <c r="U349" s="86">
        <v>3143868200.0000005</v>
      </c>
      <c r="V349" s="86">
        <v>5716124000</v>
      </c>
      <c r="W349" s="87">
        <v>314386820.00000006</v>
      </c>
      <c r="X349" s="88">
        <v>6030510820</v>
      </c>
      <c r="Y349" s="89">
        <v>603051082</v>
      </c>
      <c r="Z349" s="37"/>
      <c r="AA349" s="90"/>
      <c r="AB349" s="91">
        <v>419.02</v>
      </c>
      <c r="AC349" s="91">
        <v>48.06</v>
      </c>
      <c r="AD349" s="91">
        <v>566.57000000000005</v>
      </c>
      <c r="AE349" s="91">
        <v>614.63000000000011</v>
      </c>
      <c r="AF349" s="91">
        <v>1033.6500000000001</v>
      </c>
    </row>
    <row r="350" spans="1:32" s="92" customFormat="1">
      <c r="A350" s="84"/>
      <c r="B350" s="84"/>
      <c r="C350" s="127" t="s">
        <v>476</v>
      </c>
      <c r="D350" s="84">
        <v>48.51</v>
      </c>
      <c r="E350" s="85">
        <v>14.674275</v>
      </c>
      <c r="F350" s="73">
        <v>112.53</v>
      </c>
      <c r="G350" s="85">
        <v>34.040325000000003</v>
      </c>
      <c r="H350" s="74">
        <v>25.95</v>
      </c>
      <c r="I350" s="74">
        <v>7.8498749999999999</v>
      </c>
      <c r="J350" s="74">
        <v>38.07</v>
      </c>
      <c r="K350" s="74">
        <v>11.516175</v>
      </c>
      <c r="L350" s="74">
        <v>64.02</v>
      </c>
      <c r="M350" s="74">
        <v>19.366049999999998</v>
      </c>
      <c r="N350" s="84">
        <v>16.04</v>
      </c>
      <c r="O350" s="85">
        <v>4.8520999999999992</v>
      </c>
      <c r="P350" s="37"/>
      <c r="Q350" s="37"/>
      <c r="R350" s="37"/>
      <c r="S350" s="86">
        <v>10400000</v>
      </c>
      <c r="T350" s="86">
        <v>159308550</v>
      </c>
      <c r="U350" s="86">
        <v>194710450.00000003</v>
      </c>
      <c r="V350" s="86">
        <v>354019000</v>
      </c>
      <c r="W350" s="87">
        <v>19471045.000000004</v>
      </c>
      <c r="X350" s="88">
        <v>373490045</v>
      </c>
      <c r="Y350" s="89">
        <v>37349004.5</v>
      </c>
      <c r="Z350" s="37"/>
      <c r="AA350" s="90"/>
      <c r="AB350" s="91">
        <v>25.95</v>
      </c>
      <c r="AC350" s="91">
        <v>2.98</v>
      </c>
      <c r="AD350" s="91">
        <v>35.090000000000003</v>
      </c>
      <c r="AE350" s="91">
        <v>38.07</v>
      </c>
      <c r="AF350" s="91">
        <v>64.02</v>
      </c>
    </row>
    <row r="351" spans="1:32" s="92" customFormat="1">
      <c r="A351" s="84"/>
      <c r="B351" s="84"/>
      <c r="C351" s="127" t="s">
        <v>476</v>
      </c>
      <c r="D351" s="84">
        <v>332.39</v>
      </c>
      <c r="E351" s="85">
        <v>100.54797499999999</v>
      </c>
      <c r="F351" s="73">
        <v>771.01</v>
      </c>
      <c r="G351" s="85">
        <v>233.230525</v>
      </c>
      <c r="H351" s="74">
        <v>177.81</v>
      </c>
      <c r="I351" s="74">
        <v>53.787525000000002</v>
      </c>
      <c r="J351" s="74">
        <v>260.81</v>
      </c>
      <c r="K351" s="74">
        <v>78.895025000000004</v>
      </c>
      <c r="L351" s="74">
        <v>438.62</v>
      </c>
      <c r="M351" s="74">
        <v>132.68254999999999</v>
      </c>
      <c r="N351" s="84">
        <v>109.92</v>
      </c>
      <c r="O351" s="85">
        <v>33.250799999999998</v>
      </c>
      <c r="P351" s="37"/>
      <c r="Q351" s="37"/>
      <c r="R351" s="37"/>
      <c r="S351" s="86">
        <v>10400000</v>
      </c>
      <c r="T351" s="86">
        <v>1091518650</v>
      </c>
      <c r="U351" s="86">
        <v>1334078350</v>
      </c>
      <c r="V351" s="86">
        <v>2425597000</v>
      </c>
      <c r="W351" s="87">
        <v>133407835</v>
      </c>
      <c r="X351" s="88">
        <v>2559004835</v>
      </c>
      <c r="Y351" s="89">
        <v>255900483.5</v>
      </c>
      <c r="Z351" s="37"/>
      <c r="AA351" s="90"/>
      <c r="AB351" s="91">
        <v>177.81</v>
      </c>
      <c r="AC351" s="91">
        <v>20.39</v>
      </c>
      <c r="AD351" s="91">
        <v>240.42</v>
      </c>
      <c r="AE351" s="91">
        <v>260.81</v>
      </c>
      <c r="AF351" s="91">
        <v>438.62</v>
      </c>
    </row>
    <row r="352" spans="1:32" s="92" customFormat="1">
      <c r="A352" s="84"/>
      <c r="B352" s="84"/>
      <c r="C352" s="127" t="s">
        <v>476</v>
      </c>
      <c r="D352" s="84">
        <v>87.43</v>
      </c>
      <c r="E352" s="85">
        <v>26.447575000000001</v>
      </c>
      <c r="F352" s="73">
        <v>202.8</v>
      </c>
      <c r="G352" s="85">
        <v>61.347000000000001</v>
      </c>
      <c r="H352" s="74">
        <v>46.77</v>
      </c>
      <c r="I352" s="74">
        <v>14.147925000000001</v>
      </c>
      <c r="J352" s="74">
        <v>68.600000000000009</v>
      </c>
      <c r="K352" s="74">
        <v>20.751500000000004</v>
      </c>
      <c r="L352" s="74">
        <v>115.37</v>
      </c>
      <c r="M352" s="74">
        <v>34.899425000000001</v>
      </c>
      <c r="N352" s="84">
        <v>28.91</v>
      </c>
      <c r="O352" s="85">
        <v>8.7452749999999995</v>
      </c>
      <c r="P352" s="37"/>
      <c r="Q352" s="37"/>
      <c r="R352" s="37"/>
      <c r="S352" s="86">
        <v>10400000</v>
      </c>
      <c r="T352" s="86">
        <v>287103600</v>
      </c>
      <c r="U352" s="86">
        <v>350904400</v>
      </c>
      <c r="V352" s="86">
        <v>638008000</v>
      </c>
      <c r="W352" s="87">
        <v>35090440</v>
      </c>
      <c r="X352" s="88">
        <v>673098440</v>
      </c>
      <c r="Y352" s="89">
        <v>67309844</v>
      </c>
      <c r="Z352" s="37"/>
      <c r="AA352" s="90"/>
      <c r="AB352" s="91">
        <v>46.77</v>
      </c>
      <c r="AC352" s="91">
        <v>5.36</v>
      </c>
      <c r="AD352" s="91">
        <v>63.24</v>
      </c>
      <c r="AE352" s="91">
        <v>68.600000000000009</v>
      </c>
      <c r="AF352" s="91">
        <v>115.37</v>
      </c>
    </row>
    <row r="353" spans="1:32" s="92" customFormat="1">
      <c r="A353" s="84"/>
      <c r="B353" s="84"/>
      <c r="C353" s="127" t="s">
        <v>476</v>
      </c>
      <c r="D353" s="84">
        <v>169.26</v>
      </c>
      <c r="E353" s="85">
        <v>51.201149999999998</v>
      </c>
      <c r="F353" s="73">
        <v>392.61</v>
      </c>
      <c r="G353" s="85">
        <v>118.76452500000001</v>
      </c>
      <c r="H353" s="74">
        <v>90.54</v>
      </c>
      <c r="I353" s="74">
        <v>27.388350000000003</v>
      </c>
      <c r="J353" s="74">
        <v>132.81</v>
      </c>
      <c r="K353" s="74">
        <v>40.175024999999998</v>
      </c>
      <c r="L353" s="74">
        <v>223.35000000000002</v>
      </c>
      <c r="M353" s="74">
        <v>67.563375000000008</v>
      </c>
      <c r="N353" s="84">
        <v>55.97</v>
      </c>
      <c r="O353" s="85">
        <v>16.930924999999998</v>
      </c>
      <c r="P353" s="37"/>
      <c r="Q353" s="37"/>
      <c r="R353" s="37"/>
      <c r="S353" s="86">
        <v>10400000</v>
      </c>
      <c r="T353" s="86">
        <v>555817950</v>
      </c>
      <c r="U353" s="86">
        <v>679333050</v>
      </c>
      <c r="V353" s="86">
        <v>1235151000</v>
      </c>
      <c r="W353" s="87">
        <v>67933305</v>
      </c>
      <c r="X353" s="88">
        <v>1303084305</v>
      </c>
      <c r="Y353" s="89">
        <v>130308430.5</v>
      </c>
      <c r="Z353" s="37"/>
      <c r="AA353" s="90"/>
      <c r="AB353" s="91">
        <v>90.54</v>
      </c>
      <c r="AC353" s="91">
        <v>10.38</v>
      </c>
      <c r="AD353" s="91">
        <v>122.43</v>
      </c>
      <c r="AE353" s="91">
        <v>132.81</v>
      </c>
      <c r="AF353" s="91">
        <v>223.35000000000002</v>
      </c>
    </row>
    <row r="354" spans="1:32">
      <c r="A354" s="404" t="s">
        <v>432</v>
      </c>
      <c r="B354" s="405"/>
      <c r="C354" s="125">
        <v>26</v>
      </c>
      <c r="D354" s="29">
        <v>3257.1500000000005</v>
      </c>
      <c r="E354" s="29">
        <v>985.2878750000001</v>
      </c>
      <c r="F354" s="29">
        <v>7302.0199999999986</v>
      </c>
      <c r="G354" s="29">
        <v>2208.8610500000004</v>
      </c>
      <c r="H354" s="29">
        <v>1489.0899999999997</v>
      </c>
      <c r="I354" s="29">
        <v>450.44972500000006</v>
      </c>
      <c r="J354" s="29">
        <v>2555.7799999999997</v>
      </c>
      <c r="K354" s="29">
        <v>773.12345000000005</v>
      </c>
      <c r="L354" s="29">
        <v>4044.8699999999994</v>
      </c>
      <c r="M354" s="29">
        <v>1223.5731750000002</v>
      </c>
      <c r="N354" s="29">
        <v>1077.0499999999997</v>
      </c>
      <c r="O354" s="29">
        <v>325.80762499999992</v>
      </c>
      <c r="P354" s="30">
        <v>52692.933530706272</v>
      </c>
      <c r="Q354" s="30">
        <v>63856000</v>
      </c>
      <c r="R354" s="30">
        <v>638560000</v>
      </c>
      <c r="S354" s="30">
        <v>10399997.592801875</v>
      </c>
      <c r="T354" s="30">
        <v>4666004550</v>
      </c>
      <c r="U354" s="30">
        <v>5702894450</v>
      </c>
      <c r="V354" s="30">
        <v>10368899000</v>
      </c>
      <c r="W354" s="30">
        <v>570289445</v>
      </c>
      <c r="X354" s="30">
        <v>11008213445</v>
      </c>
      <c r="Y354" s="43"/>
      <c r="Z354" s="25"/>
      <c r="AB354" s="42"/>
      <c r="AC354" s="42"/>
      <c r="AD354" s="42"/>
      <c r="AE354" s="42"/>
      <c r="AF354" s="42"/>
    </row>
    <row r="355" spans="1:32">
      <c r="A355" s="24" t="s">
        <v>310</v>
      </c>
      <c r="B355" s="23" t="s">
        <v>436</v>
      </c>
      <c r="C355" s="126" t="s">
        <v>406</v>
      </c>
      <c r="D355" s="23">
        <v>58.32</v>
      </c>
      <c r="E355" s="17">
        <v>17.6418</v>
      </c>
      <c r="F355" s="18">
        <v>127.22999999999999</v>
      </c>
      <c r="G355" s="17">
        <v>38.487074999999997</v>
      </c>
      <c r="H355" s="45">
        <v>23.15</v>
      </c>
      <c r="I355" s="45">
        <v>7.0028749999999995</v>
      </c>
      <c r="J355" s="45">
        <v>45.76</v>
      </c>
      <c r="K355" s="45">
        <v>13.8424</v>
      </c>
      <c r="L355" s="45">
        <v>68.91</v>
      </c>
      <c r="M355" s="45">
        <v>20.845274999999997</v>
      </c>
      <c r="N355" s="23">
        <v>19.29</v>
      </c>
      <c r="O355" s="17">
        <v>5.8352249999999994</v>
      </c>
      <c r="P355" s="25">
        <v>53351</v>
      </c>
      <c r="Q355" s="25">
        <v>2053000</v>
      </c>
      <c r="R355" s="25">
        <v>20530000</v>
      </c>
      <c r="S355" s="25"/>
      <c r="T355" s="25"/>
      <c r="U355" s="25"/>
      <c r="V355" s="25"/>
      <c r="W355" s="38">
        <v>205300</v>
      </c>
      <c r="X355" s="40">
        <v>2258300</v>
      </c>
      <c r="Y355" s="39"/>
      <c r="Z355" s="25">
        <v>2053000</v>
      </c>
      <c r="AA355" s="13" t="s">
        <v>362</v>
      </c>
      <c r="AB355" s="42">
        <v>23.15</v>
      </c>
      <c r="AC355" s="42">
        <v>3.58</v>
      </c>
      <c r="AD355" s="42">
        <v>42.18</v>
      </c>
      <c r="AE355" s="42">
        <v>45.76</v>
      </c>
      <c r="AF355" s="42">
        <v>68.91</v>
      </c>
    </row>
    <row r="356" spans="1:32">
      <c r="A356" s="24" t="s">
        <v>311</v>
      </c>
      <c r="B356" s="16" t="s">
        <v>436</v>
      </c>
      <c r="C356" s="126" t="s">
        <v>406</v>
      </c>
      <c r="D356" s="23">
        <v>91.22</v>
      </c>
      <c r="E356" s="17">
        <v>27.594049999999999</v>
      </c>
      <c r="F356" s="18">
        <v>199.02</v>
      </c>
      <c r="G356" s="17">
        <v>60.20355</v>
      </c>
      <c r="H356" s="45">
        <v>36.22</v>
      </c>
      <c r="I356" s="45">
        <v>10.95655</v>
      </c>
      <c r="J356" s="45">
        <v>71.58</v>
      </c>
      <c r="K356" s="45">
        <v>21.652950000000001</v>
      </c>
      <c r="L356" s="45">
        <v>107.80000000000001</v>
      </c>
      <c r="M356" s="45">
        <v>32.609500000000004</v>
      </c>
      <c r="N356" s="23">
        <v>30.16</v>
      </c>
      <c r="O356" s="17">
        <v>9.1234000000000002</v>
      </c>
      <c r="P356" s="25">
        <v>50794.346844995023</v>
      </c>
      <c r="Q356" s="25">
        <v>3058000</v>
      </c>
      <c r="R356" s="25">
        <v>30580000</v>
      </c>
      <c r="S356" s="25"/>
      <c r="T356" s="25"/>
      <c r="U356" s="25"/>
      <c r="V356" s="25"/>
      <c r="W356" s="38">
        <v>305800</v>
      </c>
      <c r="X356" s="40">
        <v>3363800</v>
      </c>
      <c r="Y356" s="39"/>
      <c r="Z356" s="25">
        <v>3058000</v>
      </c>
      <c r="AA356" s="13" t="s">
        <v>407</v>
      </c>
      <c r="AB356" s="42">
        <v>36.22</v>
      </c>
      <c r="AC356" s="42">
        <v>5.6</v>
      </c>
      <c r="AD356" s="42">
        <v>65.98</v>
      </c>
      <c r="AE356" s="42">
        <v>71.58</v>
      </c>
      <c r="AF356" s="42">
        <v>107.80000000000001</v>
      </c>
    </row>
    <row r="357" spans="1:32">
      <c r="A357" s="24" t="s">
        <v>312</v>
      </c>
      <c r="B357" s="23" t="s">
        <v>436</v>
      </c>
      <c r="C357" s="126" t="s">
        <v>406</v>
      </c>
      <c r="D357" s="34">
        <v>76.7</v>
      </c>
      <c r="E357" s="17">
        <v>23.201750000000001</v>
      </c>
      <c r="F357" s="18">
        <v>167.33999999999997</v>
      </c>
      <c r="G357" s="17">
        <v>50.620349999999988</v>
      </c>
      <c r="H357" s="45">
        <v>30.45</v>
      </c>
      <c r="I357" s="45">
        <v>9.2111249999999991</v>
      </c>
      <c r="J357" s="45">
        <v>60.19</v>
      </c>
      <c r="K357" s="45">
        <v>18.207474999999999</v>
      </c>
      <c r="L357" s="45">
        <v>90.639999999999986</v>
      </c>
      <c r="M357" s="45">
        <v>27.418599999999994</v>
      </c>
      <c r="N357" s="23">
        <v>25.36</v>
      </c>
      <c r="O357" s="17">
        <v>7.6713999999999993</v>
      </c>
      <c r="P357" s="25">
        <v>51428</v>
      </c>
      <c r="Q357" s="25">
        <v>2603000</v>
      </c>
      <c r="R357" s="25">
        <v>26030000</v>
      </c>
      <c r="S357" s="25"/>
      <c r="T357" s="25"/>
      <c r="U357" s="25"/>
      <c r="V357" s="25"/>
      <c r="W357" s="38">
        <v>260300</v>
      </c>
      <c r="X357" s="40">
        <v>2863300</v>
      </c>
      <c r="Y357" s="39"/>
      <c r="Z357" s="25">
        <v>2603000</v>
      </c>
      <c r="AA357" s="13" t="s">
        <v>362</v>
      </c>
      <c r="AB357" s="42">
        <v>30.45</v>
      </c>
      <c r="AC357" s="42">
        <v>4.71</v>
      </c>
      <c r="AD357" s="42">
        <v>55.48</v>
      </c>
      <c r="AE357" s="42">
        <v>60.19</v>
      </c>
      <c r="AF357" s="42">
        <v>90.639999999999986</v>
      </c>
    </row>
    <row r="358" spans="1:32">
      <c r="A358" s="24" t="s">
        <v>313</v>
      </c>
      <c r="B358" s="23" t="s">
        <v>436</v>
      </c>
      <c r="C358" s="126" t="s">
        <v>406</v>
      </c>
      <c r="D358" s="23">
        <v>81.69</v>
      </c>
      <c r="E358" s="17">
        <v>24.711224999999999</v>
      </c>
      <c r="F358" s="18">
        <v>178.22</v>
      </c>
      <c r="G358" s="17">
        <v>53.911549999999998</v>
      </c>
      <c r="H358" s="45">
        <v>32.43</v>
      </c>
      <c r="I358" s="45">
        <v>9.8100749999999994</v>
      </c>
      <c r="J358" s="45">
        <v>64.100000000000009</v>
      </c>
      <c r="K358" s="45">
        <v>19.390250000000002</v>
      </c>
      <c r="L358" s="45">
        <v>96.53</v>
      </c>
      <c r="M358" s="45">
        <v>29.200324999999999</v>
      </c>
      <c r="N358" s="23">
        <v>27.01</v>
      </c>
      <c r="O358" s="17">
        <v>8.1705249999999996</v>
      </c>
      <c r="P358" s="25">
        <v>53420</v>
      </c>
      <c r="Q358" s="25">
        <v>2879000</v>
      </c>
      <c r="R358" s="25">
        <v>28790000</v>
      </c>
      <c r="S358" s="25"/>
      <c r="T358" s="25"/>
      <c r="U358" s="25"/>
      <c r="V358" s="25"/>
      <c r="W358" s="38">
        <v>287900</v>
      </c>
      <c r="X358" s="40">
        <v>3166900</v>
      </c>
      <c r="Y358" s="39"/>
      <c r="Z358" s="25">
        <v>2879000</v>
      </c>
      <c r="AA358" s="13" t="s">
        <v>362</v>
      </c>
      <c r="AB358" s="42">
        <v>32.43</v>
      </c>
      <c r="AC358" s="42">
        <v>5.01</v>
      </c>
      <c r="AD358" s="42">
        <v>59.09</v>
      </c>
      <c r="AE358" s="42">
        <v>64.100000000000009</v>
      </c>
      <c r="AF358" s="42">
        <v>96.53</v>
      </c>
    </row>
    <row r="359" spans="1:32">
      <c r="A359" s="24" t="s">
        <v>314</v>
      </c>
      <c r="B359" s="23" t="s">
        <v>436</v>
      </c>
      <c r="C359" s="126" t="s">
        <v>406</v>
      </c>
      <c r="D359" s="23">
        <v>81.69</v>
      </c>
      <c r="E359" s="17">
        <v>24.711224999999999</v>
      </c>
      <c r="F359" s="18">
        <v>178.22</v>
      </c>
      <c r="G359" s="17">
        <v>53.911549999999998</v>
      </c>
      <c r="H359" s="45">
        <v>32.43</v>
      </c>
      <c r="I359" s="45">
        <v>9.8100749999999994</v>
      </c>
      <c r="J359" s="45">
        <v>64.100000000000009</v>
      </c>
      <c r="K359" s="45">
        <v>19.390250000000002</v>
      </c>
      <c r="L359" s="45">
        <v>96.53</v>
      </c>
      <c r="M359" s="45">
        <v>29.200324999999999</v>
      </c>
      <c r="N359" s="23">
        <v>27.01</v>
      </c>
      <c r="O359" s="17">
        <v>8.1705249999999996</v>
      </c>
      <c r="P359" s="25">
        <v>53420</v>
      </c>
      <c r="Q359" s="25">
        <v>2879000</v>
      </c>
      <c r="R359" s="25">
        <v>28790000</v>
      </c>
      <c r="S359" s="25"/>
      <c r="T359" s="25"/>
      <c r="U359" s="25"/>
      <c r="V359" s="25"/>
      <c r="W359" s="38">
        <v>287900</v>
      </c>
      <c r="X359" s="40">
        <v>3166900</v>
      </c>
      <c r="Y359" s="39"/>
      <c r="Z359" s="25">
        <v>2879000</v>
      </c>
      <c r="AA359" s="13" t="s">
        <v>362</v>
      </c>
      <c r="AB359" s="42">
        <v>32.43</v>
      </c>
      <c r="AC359" s="42">
        <v>5.01</v>
      </c>
      <c r="AD359" s="42">
        <v>59.09</v>
      </c>
      <c r="AE359" s="42">
        <v>64.100000000000009</v>
      </c>
      <c r="AF359" s="42">
        <v>96.53</v>
      </c>
    </row>
    <row r="360" spans="1:32">
      <c r="A360" s="24" t="s">
        <v>315</v>
      </c>
      <c r="B360" s="23" t="s">
        <v>436</v>
      </c>
      <c r="C360" s="126" t="s">
        <v>406</v>
      </c>
      <c r="D360" s="23">
        <v>81.69</v>
      </c>
      <c r="E360" s="17">
        <v>24.711224999999999</v>
      </c>
      <c r="F360" s="18">
        <v>178.22</v>
      </c>
      <c r="G360" s="17">
        <v>53.911549999999998</v>
      </c>
      <c r="H360" s="45">
        <v>32.43</v>
      </c>
      <c r="I360" s="45">
        <v>9.8100749999999994</v>
      </c>
      <c r="J360" s="45">
        <v>64.100000000000009</v>
      </c>
      <c r="K360" s="45">
        <v>19.390250000000002</v>
      </c>
      <c r="L360" s="45">
        <v>96.53</v>
      </c>
      <c r="M360" s="45">
        <v>29.200324999999999</v>
      </c>
      <c r="N360" s="23">
        <v>27.01</v>
      </c>
      <c r="O360" s="17">
        <v>8.1705249999999996</v>
      </c>
      <c r="P360" s="25">
        <v>53420</v>
      </c>
      <c r="Q360" s="25">
        <v>2879000</v>
      </c>
      <c r="R360" s="25">
        <v>28790000</v>
      </c>
      <c r="S360" s="25"/>
      <c r="T360" s="25"/>
      <c r="U360" s="25"/>
      <c r="V360" s="25"/>
      <c r="W360" s="38">
        <v>287900</v>
      </c>
      <c r="X360" s="40">
        <v>3166900</v>
      </c>
      <c r="Y360" s="39"/>
      <c r="Z360" s="25">
        <v>2879000</v>
      </c>
      <c r="AA360" s="13" t="s">
        <v>362</v>
      </c>
      <c r="AB360" s="42">
        <v>32.43</v>
      </c>
      <c r="AC360" s="42">
        <v>5.01</v>
      </c>
      <c r="AD360" s="42">
        <v>59.09</v>
      </c>
      <c r="AE360" s="42">
        <v>64.100000000000009</v>
      </c>
      <c r="AF360" s="42">
        <v>96.53</v>
      </c>
    </row>
    <row r="361" spans="1:32">
      <c r="A361" s="24" t="s">
        <v>316</v>
      </c>
      <c r="B361" s="23" t="s">
        <v>436</v>
      </c>
      <c r="C361" s="126" t="s">
        <v>406</v>
      </c>
      <c r="D361" s="23">
        <v>81.69</v>
      </c>
      <c r="E361" s="17">
        <v>24.711224999999999</v>
      </c>
      <c r="F361" s="18">
        <v>178.22</v>
      </c>
      <c r="G361" s="17">
        <v>53.911549999999998</v>
      </c>
      <c r="H361" s="45">
        <v>32.43</v>
      </c>
      <c r="I361" s="45">
        <v>9.8100749999999994</v>
      </c>
      <c r="J361" s="45">
        <v>64.100000000000009</v>
      </c>
      <c r="K361" s="45">
        <v>19.390250000000002</v>
      </c>
      <c r="L361" s="45">
        <v>96.53</v>
      </c>
      <c r="M361" s="45">
        <v>29.200324999999999</v>
      </c>
      <c r="N361" s="23">
        <v>27.01</v>
      </c>
      <c r="O361" s="17">
        <v>8.1705249999999996</v>
      </c>
      <c r="P361" s="25">
        <v>53420</v>
      </c>
      <c r="Q361" s="25">
        <v>2879000</v>
      </c>
      <c r="R361" s="25">
        <v>28790000</v>
      </c>
      <c r="S361" s="25"/>
      <c r="T361" s="25"/>
      <c r="U361" s="25"/>
      <c r="V361" s="25"/>
      <c r="W361" s="38">
        <v>287900</v>
      </c>
      <c r="X361" s="40">
        <v>3166900</v>
      </c>
      <c r="Y361" s="39"/>
      <c r="Z361" s="25">
        <v>2879000</v>
      </c>
      <c r="AA361" s="13" t="s">
        <v>362</v>
      </c>
      <c r="AB361" s="42">
        <v>32.43</v>
      </c>
      <c r="AC361" s="42">
        <v>5.01</v>
      </c>
      <c r="AD361" s="42">
        <v>59.09</v>
      </c>
      <c r="AE361" s="42">
        <v>64.100000000000009</v>
      </c>
      <c r="AF361" s="42">
        <v>96.53</v>
      </c>
    </row>
    <row r="362" spans="1:32">
      <c r="A362" s="24" t="s">
        <v>317</v>
      </c>
      <c r="B362" s="23" t="s">
        <v>436</v>
      </c>
      <c r="C362" s="126" t="s">
        <v>406</v>
      </c>
      <c r="D362" s="23">
        <v>66.97</v>
      </c>
      <c r="E362" s="17">
        <v>20.258424999999999</v>
      </c>
      <c r="F362" s="18">
        <v>146.11000000000001</v>
      </c>
      <c r="G362" s="17">
        <v>44.198275000000002</v>
      </c>
      <c r="H362" s="45">
        <v>26.59</v>
      </c>
      <c r="I362" s="45">
        <v>8.043474999999999</v>
      </c>
      <c r="J362" s="45">
        <v>52.55</v>
      </c>
      <c r="K362" s="45">
        <v>15.896374999999999</v>
      </c>
      <c r="L362" s="45">
        <v>79.14</v>
      </c>
      <c r="M362" s="45">
        <v>23.93985</v>
      </c>
      <c r="N362" s="23">
        <v>22.15</v>
      </c>
      <c r="O362" s="17">
        <v>6.7003749999999993</v>
      </c>
      <c r="P362" s="25">
        <v>51359</v>
      </c>
      <c r="Q362" s="25">
        <v>2269000</v>
      </c>
      <c r="R362" s="25">
        <v>22690000</v>
      </c>
      <c r="S362" s="25"/>
      <c r="T362" s="25"/>
      <c r="U362" s="25"/>
      <c r="V362" s="25"/>
      <c r="W362" s="38">
        <v>226900</v>
      </c>
      <c r="X362" s="40">
        <v>2495900</v>
      </c>
      <c r="Y362" s="39"/>
      <c r="Z362" s="25">
        <v>2269000</v>
      </c>
      <c r="AA362" s="13" t="s">
        <v>362</v>
      </c>
      <c r="AB362" s="42">
        <v>26.59</v>
      </c>
      <c r="AC362" s="42">
        <v>4.1100000000000003</v>
      </c>
      <c r="AD362" s="42">
        <v>48.44</v>
      </c>
      <c r="AE362" s="42">
        <v>52.55</v>
      </c>
      <c r="AF362" s="42">
        <v>79.14</v>
      </c>
    </row>
    <row r="363" spans="1:32">
      <c r="A363" s="24" t="s">
        <v>318</v>
      </c>
      <c r="B363" s="23" t="s">
        <v>436</v>
      </c>
      <c r="C363" s="126" t="s">
        <v>406</v>
      </c>
      <c r="D363" s="23">
        <v>81.69</v>
      </c>
      <c r="E363" s="17">
        <v>24.711224999999999</v>
      </c>
      <c r="F363" s="18">
        <v>178.22</v>
      </c>
      <c r="G363" s="17">
        <v>53.911549999999998</v>
      </c>
      <c r="H363" s="45">
        <v>32.43</v>
      </c>
      <c r="I363" s="45">
        <v>9.8100749999999994</v>
      </c>
      <c r="J363" s="45">
        <v>64.100000000000009</v>
      </c>
      <c r="K363" s="45">
        <v>19.390250000000002</v>
      </c>
      <c r="L363" s="45">
        <v>96.53</v>
      </c>
      <c r="M363" s="45">
        <v>29.200324999999999</v>
      </c>
      <c r="N363" s="23">
        <v>27.01</v>
      </c>
      <c r="O363" s="17">
        <v>8.1705249999999996</v>
      </c>
      <c r="P363" s="25">
        <v>53420</v>
      </c>
      <c r="Q363" s="25">
        <v>2879000</v>
      </c>
      <c r="R363" s="25">
        <v>28790000</v>
      </c>
      <c r="S363" s="25"/>
      <c r="T363" s="25"/>
      <c r="U363" s="25"/>
      <c r="V363" s="25"/>
      <c r="W363" s="38">
        <v>287900</v>
      </c>
      <c r="X363" s="40">
        <v>3166900</v>
      </c>
      <c r="Y363" s="39"/>
      <c r="Z363" s="25">
        <v>2879000</v>
      </c>
      <c r="AA363" s="13" t="s">
        <v>362</v>
      </c>
      <c r="AB363" s="42">
        <v>32.43</v>
      </c>
      <c r="AC363" s="42">
        <v>5.01</v>
      </c>
      <c r="AD363" s="42">
        <v>59.09</v>
      </c>
      <c r="AE363" s="42">
        <v>64.100000000000009</v>
      </c>
      <c r="AF363" s="42">
        <v>96.53</v>
      </c>
    </row>
    <row r="364" spans="1:32">
      <c r="A364" s="24" t="s">
        <v>319</v>
      </c>
      <c r="B364" s="23" t="s">
        <v>436</v>
      </c>
      <c r="C364" s="126" t="s">
        <v>406</v>
      </c>
      <c r="D364" s="23">
        <v>81.69</v>
      </c>
      <c r="E364" s="17">
        <v>24.711224999999999</v>
      </c>
      <c r="F364" s="18">
        <v>178.22</v>
      </c>
      <c r="G364" s="17">
        <v>53.911549999999998</v>
      </c>
      <c r="H364" s="45">
        <v>32.43</v>
      </c>
      <c r="I364" s="45">
        <v>9.8100749999999994</v>
      </c>
      <c r="J364" s="45">
        <v>64.100000000000009</v>
      </c>
      <c r="K364" s="45">
        <v>19.390250000000002</v>
      </c>
      <c r="L364" s="45">
        <v>96.53</v>
      </c>
      <c r="M364" s="45">
        <v>29.200324999999999</v>
      </c>
      <c r="N364" s="23">
        <v>27.01</v>
      </c>
      <c r="O364" s="17">
        <v>8.1705249999999996</v>
      </c>
      <c r="P364" s="25">
        <v>53420</v>
      </c>
      <c r="Q364" s="25">
        <v>2879000</v>
      </c>
      <c r="R364" s="25">
        <v>28790000</v>
      </c>
      <c r="S364" s="25"/>
      <c r="T364" s="25"/>
      <c r="U364" s="25"/>
      <c r="V364" s="25"/>
      <c r="W364" s="38">
        <v>287900</v>
      </c>
      <c r="X364" s="40">
        <v>3166900</v>
      </c>
      <c r="Y364" s="39"/>
      <c r="Z364" s="25">
        <v>2879000</v>
      </c>
      <c r="AA364" s="13" t="s">
        <v>362</v>
      </c>
      <c r="AB364" s="42">
        <v>32.43</v>
      </c>
      <c r="AC364" s="42">
        <v>5.01</v>
      </c>
      <c r="AD364" s="42">
        <v>59.09</v>
      </c>
      <c r="AE364" s="42">
        <v>64.100000000000009</v>
      </c>
      <c r="AF364" s="42">
        <v>96.53</v>
      </c>
    </row>
    <row r="365" spans="1:32">
      <c r="A365" s="24" t="s">
        <v>320</v>
      </c>
      <c r="B365" s="23" t="s">
        <v>436</v>
      </c>
      <c r="C365" s="126" t="s">
        <v>406</v>
      </c>
      <c r="D365" s="23">
        <v>119.62</v>
      </c>
      <c r="E365" s="17">
        <v>36.185049999999997</v>
      </c>
      <c r="F365" s="18">
        <v>260.97000000000003</v>
      </c>
      <c r="G365" s="17">
        <v>78.943425000000005</v>
      </c>
      <c r="H365" s="45">
        <v>47.49</v>
      </c>
      <c r="I365" s="45">
        <v>14.365724999999999</v>
      </c>
      <c r="J365" s="45">
        <v>93.86</v>
      </c>
      <c r="K365" s="45">
        <v>28.39265</v>
      </c>
      <c r="L365" s="45">
        <v>141.35</v>
      </c>
      <c r="M365" s="45">
        <v>42.758374999999994</v>
      </c>
      <c r="N365" s="23">
        <v>39.56</v>
      </c>
      <c r="O365" s="17">
        <v>11.966900000000001</v>
      </c>
      <c r="P365" s="25">
        <v>53413</v>
      </c>
      <c r="Q365" s="25">
        <v>4216000</v>
      </c>
      <c r="R365" s="25">
        <v>42160000</v>
      </c>
      <c r="S365" s="25"/>
      <c r="T365" s="25"/>
      <c r="U365" s="25"/>
      <c r="V365" s="25"/>
      <c r="W365" s="38">
        <v>421600</v>
      </c>
      <c r="X365" s="40">
        <v>4637600</v>
      </c>
      <c r="Y365" s="39"/>
      <c r="Z365" s="25">
        <v>4216000</v>
      </c>
      <c r="AA365" s="13" t="s">
        <v>362</v>
      </c>
      <c r="AB365" s="42">
        <v>47.49</v>
      </c>
      <c r="AC365" s="42">
        <v>7.34</v>
      </c>
      <c r="AD365" s="42">
        <v>86.52</v>
      </c>
      <c r="AE365" s="42">
        <v>93.86</v>
      </c>
      <c r="AF365" s="42">
        <v>141.35</v>
      </c>
    </row>
    <row r="366" spans="1:32">
      <c r="A366" s="24" t="s">
        <v>321</v>
      </c>
      <c r="B366" s="23" t="s">
        <v>436</v>
      </c>
      <c r="C366" s="126" t="s">
        <v>406</v>
      </c>
      <c r="D366" s="34">
        <v>109.6</v>
      </c>
      <c r="E366" s="17">
        <v>33.153999999999996</v>
      </c>
      <c r="F366" s="18">
        <v>239.10999999999999</v>
      </c>
      <c r="G366" s="17">
        <v>72.330774999999988</v>
      </c>
      <c r="H366" s="45">
        <v>43.51</v>
      </c>
      <c r="I366" s="45">
        <v>13.161774999999999</v>
      </c>
      <c r="J366" s="45">
        <v>86</v>
      </c>
      <c r="K366" s="45">
        <v>26.015000000000001</v>
      </c>
      <c r="L366" s="45">
        <v>129.51</v>
      </c>
      <c r="M366" s="45">
        <v>39.176774999999999</v>
      </c>
      <c r="N366" s="23">
        <v>36.24</v>
      </c>
      <c r="O366" s="17">
        <v>10.9626</v>
      </c>
      <c r="P366" s="25">
        <v>53412</v>
      </c>
      <c r="Q366" s="25">
        <v>3863000</v>
      </c>
      <c r="R366" s="25">
        <v>38630000</v>
      </c>
      <c r="S366" s="25"/>
      <c r="T366" s="25"/>
      <c r="U366" s="25"/>
      <c r="V366" s="25"/>
      <c r="W366" s="38">
        <v>386300</v>
      </c>
      <c r="X366" s="40">
        <v>4249300</v>
      </c>
      <c r="Y366" s="39"/>
      <c r="Z366" s="25">
        <v>3863000</v>
      </c>
      <c r="AA366" s="13" t="s">
        <v>362</v>
      </c>
      <c r="AB366" s="42">
        <v>43.51</v>
      </c>
      <c r="AC366" s="42">
        <v>6.72</v>
      </c>
      <c r="AD366" s="42">
        <v>79.28</v>
      </c>
      <c r="AE366" s="42">
        <v>86</v>
      </c>
      <c r="AF366" s="42">
        <v>129.51</v>
      </c>
    </row>
    <row r="367" spans="1:32">
      <c r="A367" s="24" t="s">
        <v>322</v>
      </c>
      <c r="B367" s="23" t="s">
        <v>436</v>
      </c>
      <c r="C367" s="126" t="s">
        <v>406</v>
      </c>
      <c r="D367" s="23">
        <v>119.62</v>
      </c>
      <c r="E367" s="17">
        <v>36.185049999999997</v>
      </c>
      <c r="F367" s="18">
        <v>260.97000000000003</v>
      </c>
      <c r="G367" s="17">
        <v>78.943425000000005</v>
      </c>
      <c r="H367" s="45">
        <v>47.49</v>
      </c>
      <c r="I367" s="45">
        <v>14.365724999999999</v>
      </c>
      <c r="J367" s="45">
        <v>93.86</v>
      </c>
      <c r="K367" s="45">
        <v>28.39265</v>
      </c>
      <c r="L367" s="45">
        <v>141.35</v>
      </c>
      <c r="M367" s="45">
        <v>42.758374999999994</v>
      </c>
      <c r="N367" s="23">
        <v>39.56</v>
      </c>
      <c r="O367" s="17">
        <v>11.966900000000001</v>
      </c>
      <c r="P367" s="25">
        <v>53413</v>
      </c>
      <c r="Q367" s="25">
        <v>4216000</v>
      </c>
      <c r="R367" s="25">
        <v>42160000</v>
      </c>
      <c r="S367" s="25"/>
      <c r="T367" s="25"/>
      <c r="U367" s="25"/>
      <c r="V367" s="25"/>
      <c r="W367" s="38">
        <v>421600</v>
      </c>
      <c r="X367" s="40">
        <v>4637600</v>
      </c>
      <c r="Y367" s="39"/>
      <c r="Z367" s="25">
        <v>4216000</v>
      </c>
      <c r="AA367" s="13" t="s">
        <v>362</v>
      </c>
      <c r="AB367" s="42">
        <v>47.49</v>
      </c>
      <c r="AC367" s="42">
        <v>7.34</v>
      </c>
      <c r="AD367" s="42">
        <v>86.52</v>
      </c>
      <c r="AE367" s="42">
        <v>93.86</v>
      </c>
      <c r="AF367" s="42">
        <v>141.35</v>
      </c>
    </row>
    <row r="368" spans="1:32">
      <c r="A368" s="24" t="s">
        <v>323</v>
      </c>
      <c r="B368" s="23" t="s">
        <v>436</v>
      </c>
      <c r="C368" s="126" t="s">
        <v>406</v>
      </c>
      <c r="D368" s="23">
        <v>81.69</v>
      </c>
      <c r="E368" s="17">
        <v>24.711224999999999</v>
      </c>
      <c r="F368" s="18">
        <v>178.22</v>
      </c>
      <c r="G368" s="17">
        <v>53.911549999999998</v>
      </c>
      <c r="H368" s="45">
        <v>32.43</v>
      </c>
      <c r="I368" s="45">
        <v>9.8100749999999994</v>
      </c>
      <c r="J368" s="45">
        <v>64.100000000000009</v>
      </c>
      <c r="K368" s="45">
        <v>19.390250000000002</v>
      </c>
      <c r="L368" s="45">
        <v>96.53</v>
      </c>
      <c r="M368" s="45">
        <v>29.200324999999999</v>
      </c>
      <c r="N368" s="23">
        <v>27.01</v>
      </c>
      <c r="O368" s="17">
        <v>8.1705249999999996</v>
      </c>
      <c r="P368" s="25">
        <v>52994.209960574313</v>
      </c>
      <c r="Q368" s="25">
        <v>2857000</v>
      </c>
      <c r="R368" s="25">
        <v>28570000</v>
      </c>
      <c r="S368" s="25"/>
      <c r="T368" s="25"/>
      <c r="U368" s="25"/>
      <c r="V368" s="25"/>
      <c r="W368" s="38">
        <v>285700</v>
      </c>
      <c r="X368" s="40">
        <v>3142700</v>
      </c>
      <c r="Y368" s="39"/>
      <c r="Z368" s="25">
        <v>2857000</v>
      </c>
      <c r="AA368" s="13" t="s">
        <v>362</v>
      </c>
      <c r="AB368" s="42">
        <v>32.43</v>
      </c>
      <c r="AC368" s="42">
        <v>5.01</v>
      </c>
      <c r="AD368" s="42">
        <v>59.09</v>
      </c>
      <c r="AE368" s="42">
        <v>64.100000000000009</v>
      </c>
      <c r="AF368" s="42">
        <v>96.53</v>
      </c>
    </row>
    <row r="369" spans="1:32">
      <c r="A369" s="24" t="s">
        <v>324</v>
      </c>
      <c r="B369" s="23" t="s">
        <v>436</v>
      </c>
      <c r="C369" s="126" t="s">
        <v>406</v>
      </c>
      <c r="D369" s="23">
        <v>81.69</v>
      </c>
      <c r="E369" s="17">
        <v>24.711224999999999</v>
      </c>
      <c r="F369" s="18">
        <v>178.22</v>
      </c>
      <c r="G369" s="17">
        <v>53.911549999999998</v>
      </c>
      <c r="H369" s="45">
        <v>32.43</v>
      </c>
      <c r="I369" s="45">
        <v>9.8100749999999994</v>
      </c>
      <c r="J369" s="45">
        <v>64.100000000000009</v>
      </c>
      <c r="K369" s="45">
        <v>19.390250000000002</v>
      </c>
      <c r="L369" s="45">
        <v>96.53</v>
      </c>
      <c r="M369" s="45">
        <v>29.200324999999999</v>
      </c>
      <c r="N369" s="23">
        <v>27.01</v>
      </c>
      <c r="O369" s="17">
        <v>8.1705249999999996</v>
      </c>
      <c r="P369" s="25">
        <v>52994.209960574313</v>
      </c>
      <c r="Q369" s="25">
        <v>2857000</v>
      </c>
      <c r="R369" s="25">
        <v>28570000</v>
      </c>
      <c r="S369" s="25"/>
      <c r="T369" s="25"/>
      <c r="U369" s="25"/>
      <c r="V369" s="25"/>
      <c r="W369" s="38">
        <v>285700</v>
      </c>
      <c r="X369" s="40">
        <v>3142700</v>
      </c>
      <c r="Y369" s="39"/>
      <c r="Z369" s="25">
        <v>2857000</v>
      </c>
      <c r="AA369" s="13" t="s">
        <v>362</v>
      </c>
      <c r="AB369" s="42">
        <v>32.43</v>
      </c>
      <c r="AC369" s="42">
        <v>5.01</v>
      </c>
      <c r="AD369" s="42">
        <v>59.09</v>
      </c>
      <c r="AE369" s="42">
        <v>64.100000000000009</v>
      </c>
      <c r="AF369" s="42">
        <v>96.53</v>
      </c>
    </row>
    <row r="370" spans="1:32">
      <c r="A370" s="24" t="s">
        <v>325</v>
      </c>
      <c r="B370" s="23" t="s">
        <v>436</v>
      </c>
      <c r="C370" s="126" t="s">
        <v>406</v>
      </c>
      <c r="D370" s="23">
        <v>81.69</v>
      </c>
      <c r="E370" s="17">
        <v>24.711224999999999</v>
      </c>
      <c r="F370" s="18">
        <v>178.22</v>
      </c>
      <c r="G370" s="17">
        <v>53.911549999999998</v>
      </c>
      <c r="H370" s="45">
        <v>32.43</v>
      </c>
      <c r="I370" s="45">
        <v>9.8100749999999994</v>
      </c>
      <c r="J370" s="45">
        <v>64.100000000000009</v>
      </c>
      <c r="K370" s="45">
        <v>19.390250000000002</v>
      </c>
      <c r="L370" s="45">
        <v>96.53</v>
      </c>
      <c r="M370" s="45">
        <v>29.200324999999999</v>
      </c>
      <c r="N370" s="23">
        <v>27.01</v>
      </c>
      <c r="O370" s="17">
        <v>8.1705249999999996</v>
      </c>
      <c r="P370" s="25">
        <v>52994.209960574313</v>
      </c>
      <c r="Q370" s="25">
        <v>2857000</v>
      </c>
      <c r="R370" s="25">
        <v>28570000</v>
      </c>
      <c r="S370" s="25"/>
      <c r="T370" s="25"/>
      <c r="U370" s="25"/>
      <c r="V370" s="25"/>
      <c r="W370" s="38">
        <v>285700</v>
      </c>
      <c r="X370" s="40">
        <v>3142700</v>
      </c>
      <c r="Y370" s="39"/>
      <c r="Z370" s="25">
        <v>2857000</v>
      </c>
      <c r="AA370" s="13" t="s">
        <v>362</v>
      </c>
      <c r="AB370" s="42">
        <v>32.43</v>
      </c>
      <c r="AC370" s="42">
        <v>5.01</v>
      </c>
      <c r="AD370" s="42">
        <v>59.09</v>
      </c>
      <c r="AE370" s="42">
        <v>64.100000000000009</v>
      </c>
      <c r="AF370" s="42">
        <v>96.53</v>
      </c>
    </row>
    <row r="371" spans="1:32">
      <c r="A371" s="24" t="s">
        <v>326</v>
      </c>
      <c r="B371" s="23" t="s">
        <v>436</v>
      </c>
      <c r="C371" s="126" t="s">
        <v>406</v>
      </c>
      <c r="D371" s="23">
        <v>81.69</v>
      </c>
      <c r="E371" s="17">
        <v>24.711224999999999</v>
      </c>
      <c r="F371" s="18">
        <v>178.22</v>
      </c>
      <c r="G371" s="17">
        <v>53.911549999999998</v>
      </c>
      <c r="H371" s="45">
        <v>32.43</v>
      </c>
      <c r="I371" s="45">
        <v>9.8100749999999994</v>
      </c>
      <c r="J371" s="45">
        <v>64.100000000000009</v>
      </c>
      <c r="K371" s="45">
        <v>19.390250000000002</v>
      </c>
      <c r="L371" s="45">
        <v>96.53</v>
      </c>
      <c r="M371" s="45">
        <v>29.200324999999999</v>
      </c>
      <c r="N371" s="23">
        <v>27.01</v>
      </c>
      <c r="O371" s="17">
        <v>8.1705249999999996</v>
      </c>
      <c r="P371" s="25">
        <v>52994.209960574313</v>
      </c>
      <c r="Q371" s="25">
        <v>2857000</v>
      </c>
      <c r="R371" s="25">
        <v>28570000</v>
      </c>
      <c r="S371" s="25"/>
      <c r="T371" s="25"/>
      <c r="U371" s="25"/>
      <c r="V371" s="25"/>
      <c r="W371" s="38">
        <v>285700</v>
      </c>
      <c r="X371" s="40">
        <v>3142700</v>
      </c>
      <c r="Y371" s="39"/>
      <c r="Z371" s="25">
        <v>2857000</v>
      </c>
      <c r="AA371" s="13" t="s">
        <v>362</v>
      </c>
      <c r="AB371" s="42">
        <v>32.43</v>
      </c>
      <c r="AC371" s="42">
        <v>5.01</v>
      </c>
      <c r="AD371" s="42">
        <v>59.09</v>
      </c>
      <c r="AE371" s="42">
        <v>64.100000000000009</v>
      </c>
      <c r="AF371" s="42">
        <v>96.53</v>
      </c>
    </row>
    <row r="372" spans="1:32">
      <c r="A372" s="24" t="s">
        <v>327</v>
      </c>
      <c r="B372" s="23" t="s">
        <v>436</v>
      </c>
      <c r="C372" s="126" t="s">
        <v>406</v>
      </c>
      <c r="D372" s="23">
        <v>81.69</v>
      </c>
      <c r="E372" s="17">
        <v>24.711224999999999</v>
      </c>
      <c r="F372" s="18">
        <v>178.22</v>
      </c>
      <c r="G372" s="17">
        <v>53.911549999999998</v>
      </c>
      <c r="H372" s="45">
        <v>32.43</v>
      </c>
      <c r="I372" s="45">
        <v>9.8100749999999994</v>
      </c>
      <c r="J372" s="45">
        <v>64.100000000000009</v>
      </c>
      <c r="K372" s="45">
        <v>19.390250000000002</v>
      </c>
      <c r="L372" s="45">
        <v>96.53</v>
      </c>
      <c r="M372" s="45">
        <v>29.200324999999999</v>
      </c>
      <c r="N372" s="23">
        <v>27.01</v>
      </c>
      <c r="O372" s="17">
        <v>8.1705249999999996</v>
      </c>
      <c r="P372" s="25">
        <v>52994.209960574313</v>
      </c>
      <c r="Q372" s="25">
        <v>2857000</v>
      </c>
      <c r="R372" s="25">
        <v>28570000</v>
      </c>
      <c r="S372" s="25"/>
      <c r="T372" s="25"/>
      <c r="U372" s="25"/>
      <c r="V372" s="25"/>
      <c r="W372" s="38">
        <v>285700</v>
      </c>
      <c r="X372" s="40">
        <v>3142700</v>
      </c>
      <c r="Y372" s="39"/>
      <c r="Z372" s="25">
        <v>2857000</v>
      </c>
      <c r="AA372" s="13" t="s">
        <v>362</v>
      </c>
      <c r="AB372" s="42">
        <v>32.43</v>
      </c>
      <c r="AC372" s="42">
        <v>5.01</v>
      </c>
      <c r="AD372" s="42">
        <v>59.09</v>
      </c>
      <c r="AE372" s="42">
        <v>64.100000000000009</v>
      </c>
      <c r="AF372" s="42">
        <v>96.53</v>
      </c>
    </row>
    <row r="373" spans="1:32">
      <c r="A373" s="24" t="s">
        <v>328</v>
      </c>
      <c r="B373" s="23" t="s">
        <v>436</v>
      </c>
      <c r="C373" s="126" t="s">
        <v>406</v>
      </c>
      <c r="D373" s="23">
        <v>81.69</v>
      </c>
      <c r="E373" s="17">
        <v>24.711224999999999</v>
      </c>
      <c r="F373" s="18">
        <v>178.22</v>
      </c>
      <c r="G373" s="17">
        <v>53.911549999999998</v>
      </c>
      <c r="H373" s="45">
        <v>32.43</v>
      </c>
      <c r="I373" s="45">
        <v>9.8100749999999994</v>
      </c>
      <c r="J373" s="45">
        <v>64.100000000000009</v>
      </c>
      <c r="K373" s="45">
        <v>19.390250000000002</v>
      </c>
      <c r="L373" s="45">
        <v>96.53</v>
      </c>
      <c r="M373" s="45">
        <v>29.200324999999999</v>
      </c>
      <c r="N373" s="23">
        <v>27.01</v>
      </c>
      <c r="O373" s="17">
        <v>8.1705249999999996</v>
      </c>
      <c r="P373" s="25">
        <v>52994.209960574313</v>
      </c>
      <c r="Q373" s="25">
        <v>2857000</v>
      </c>
      <c r="R373" s="25">
        <v>28570000</v>
      </c>
      <c r="S373" s="25"/>
      <c r="T373" s="25"/>
      <c r="U373" s="25"/>
      <c r="V373" s="25"/>
      <c r="W373" s="38">
        <v>285700</v>
      </c>
      <c r="X373" s="40">
        <v>3142700</v>
      </c>
      <c r="Y373" s="39"/>
      <c r="Z373" s="25">
        <v>2857000</v>
      </c>
      <c r="AA373" s="13" t="s">
        <v>362</v>
      </c>
      <c r="AB373" s="42">
        <v>32.43</v>
      </c>
      <c r="AC373" s="42">
        <v>5.01</v>
      </c>
      <c r="AD373" s="42">
        <v>59.09</v>
      </c>
      <c r="AE373" s="42">
        <v>64.100000000000009</v>
      </c>
      <c r="AF373" s="42">
        <v>96.53</v>
      </c>
    </row>
    <row r="374" spans="1:32">
      <c r="A374" s="24" t="s">
        <v>329</v>
      </c>
      <c r="B374" s="23" t="s">
        <v>436</v>
      </c>
      <c r="C374" s="126" t="s">
        <v>406</v>
      </c>
      <c r="D374" s="23">
        <v>91.22</v>
      </c>
      <c r="E374" s="17">
        <v>27.594049999999999</v>
      </c>
      <c r="F374" s="18">
        <v>199.02</v>
      </c>
      <c r="G374" s="17">
        <v>60.20355</v>
      </c>
      <c r="H374" s="45">
        <v>36.22</v>
      </c>
      <c r="I374" s="45">
        <v>10.95655</v>
      </c>
      <c r="J374" s="45">
        <v>71.58</v>
      </c>
      <c r="K374" s="45">
        <v>21.652950000000001</v>
      </c>
      <c r="L374" s="45">
        <v>107.80000000000001</v>
      </c>
      <c r="M374" s="45">
        <v>32.609500000000004</v>
      </c>
      <c r="N374" s="23">
        <v>30.16</v>
      </c>
      <c r="O374" s="17">
        <v>9.1234000000000002</v>
      </c>
      <c r="P374" s="25">
        <v>52986.908579311355</v>
      </c>
      <c r="Q374" s="25">
        <v>3190000</v>
      </c>
      <c r="R374" s="25">
        <v>31900000</v>
      </c>
      <c r="S374" s="25"/>
      <c r="T374" s="25"/>
      <c r="U374" s="25"/>
      <c r="V374" s="25"/>
      <c r="W374" s="38">
        <v>319000</v>
      </c>
      <c r="X374" s="40">
        <v>3509000</v>
      </c>
      <c r="Y374" s="39"/>
      <c r="Z374" s="25">
        <v>3190000</v>
      </c>
      <c r="AA374" s="13" t="s">
        <v>362</v>
      </c>
      <c r="AB374" s="42">
        <v>36.22</v>
      </c>
      <c r="AC374" s="42">
        <v>5.6</v>
      </c>
      <c r="AD374" s="42">
        <v>65.98</v>
      </c>
      <c r="AE374" s="42">
        <v>71.58</v>
      </c>
      <c r="AF374" s="42">
        <v>107.80000000000001</v>
      </c>
    </row>
    <row r="375" spans="1:32" s="92" customFormat="1">
      <c r="A375" s="84"/>
      <c r="B375" s="84"/>
      <c r="C375" s="127" t="s">
        <v>476</v>
      </c>
      <c r="D375" s="84">
        <v>722.81</v>
      </c>
      <c r="E375" s="85">
        <v>218.65002499999997</v>
      </c>
      <c r="F375" s="73">
        <v>1676.64</v>
      </c>
      <c r="G375" s="85">
        <v>507.18360000000001</v>
      </c>
      <c r="H375" s="74">
        <v>386.66</v>
      </c>
      <c r="I375" s="74">
        <v>116.96465000000001</v>
      </c>
      <c r="J375" s="74">
        <v>567.17000000000007</v>
      </c>
      <c r="K375" s="74">
        <v>171.56892500000001</v>
      </c>
      <c r="L375" s="74">
        <v>953.83000000000015</v>
      </c>
      <c r="M375" s="74">
        <v>288.53357500000004</v>
      </c>
      <c r="N375" s="84">
        <v>239.02</v>
      </c>
      <c r="O375" s="85">
        <v>72.303550000000001</v>
      </c>
      <c r="P375" s="37"/>
      <c r="Q375" s="37"/>
      <c r="R375" s="37"/>
      <c r="S375" s="86">
        <v>10600000</v>
      </c>
      <c r="T375" s="86">
        <v>2419265700</v>
      </c>
      <c r="U375" s="86">
        <v>2956880300.0000005</v>
      </c>
      <c r="V375" s="86">
        <v>5376146000</v>
      </c>
      <c r="W375" s="87">
        <v>295688030.00000006</v>
      </c>
      <c r="X375" s="88">
        <v>5671834030</v>
      </c>
      <c r="Y375" s="89">
        <v>567183403</v>
      </c>
      <c r="Z375" s="37"/>
      <c r="AA375" s="90"/>
      <c r="AB375" s="91">
        <v>386.66</v>
      </c>
      <c r="AC375" s="91">
        <v>44.35</v>
      </c>
      <c r="AD375" s="91">
        <v>522.82000000000005</v>
      </c>
      <c r="AE375" s="91">
        <v>567.17000000000007</v>
      </c>
      <c r="AF375" s="91">
        <v>953.83000000000015</v>
      </c>
    </row>
    <row r="376" spans="1:32" s="92" customFormat="1">
      <c r="A376" s="84"/>
      <c r="B376" s="84"/>
      <c r="C376" s="127" t="s">
        <v>476</v>
      </c>
      <c r="D376" s="84">
        <v>73.58</v>
      </c>
      <c r="E376" s="85">
        <v>22.257949999999997</v>
      </c>
      <c r="F376" s="73">
        <v>170.67000000000002</v>
      </c>
      <c r="G376" s="85">
        <v>51.627675000000004</v>
      </c>
      <c r="H376" s="74">
        <v>39.36</v>
      </c>
      <c r="I376" s="74">
        <v>11.9064</v>
      </c>
      <c r="J376" s="74">
        <v>57.73</v>
      </c>
      <c r="K376" s="74">
        <v>17.463324999999998</v>
      </c>
      <c r="L376" s="74">
        <v>97.09</v>
      </c>
      <c r="M376" s="74">
        <v>29.369724999999999</v>
      </c>
      <c r="N376" s="84">
        <v>24.33</v>
      </c>
      <c r="O376" s="85">
        <v>7.359824999999999</v>
      </c>
      <c r="P376" s="37"/>
      <c r="Q376" s="37"/>
      <c r="R376" s="37"/>
      <c r="S376" s="86">
        <v>10600000</v>
      </c>
      <c r="T376" s="86">
        <v>246263850</v>
      </c>
      <c r="U376" s="86">
        <v>300989150</v>
      </c>
      <c r="V376" s="86">
        <v>547253000</v>
      </c>
      <c r="W376" s="87">
        <v>30098915</v>
      </c>
      <c r="X376" s="88">
        <v>577351915</v>
      </c>
      <c r="Y376" s="89">
        <v>57735191.5</v>
      </c>
      <c r="Z376" s="37"/>
      <c r="AA376" s="90"/>
      <c r="AB376" s="91">
        <v>39.36</v>
      </c>
      <c r="AC376" s="91">
        <v>4.51</v>
      </c>
      <c r="AD376" s="91">
        <v>53.22</v>
      </c>
      <c r="AE376" s="91">
        <v>57.73</v>
      </c>
      <c r="AF376" s="91">
        <v>97.09</v>
      </c>
    </row>
    <row r="377" spans="1:32" s="92" customFormat="1">
      <c r="A377" s="84"/>
      <c r="B377" s="84"/>
      <c r="C377" s="127" t="s">
        <v>476</v>
      </c>
      <c r="D377" s="84">
        <v>196.2</v>
      </c>
      <c r="E377" s="85">
        <v>59.350499999999997</v>
      </c>
      <c r="F377" s="73">
        <v>455.10999999999996</v>
      </c>
      <c r="G377" s="85">
        <v>137.67077499999999</v>
      </c>
      <c r="H377" s="74">
        <v>104.96</v>
      </c>
      <c r="I377" s="74">
        <v>31.750399999999996</v>
      </c>
      <c r="J377" s="74">
        <v>153.94999999999999</v>
      </c>
      <c r="K377" s="74">
        <v>46.569874999999996</v>
      </c>
      <c r="L377" s="74">
        <v>258.90999999999997</v>
      </c>
      <c r="M377" s="74">
        <v>78.320274999999981</v>
      </c>
      <c r="N377" s="84">
        <v>64.88</v>
      </c>
      <c r="O377" s="85">
        <v>19.626199999999997</v>
      </c>
      <c r="P377" s="37"/>
      <c r="Q377" s="37"/>
      <c r="R377" s="37"/>
      <c r="S377" s="86">
        <v>10600000</v>
      </c>
      <c r="T377" s="86">
        <v>656689500</v>
      </c>
      <c r="U377" s="86">
        <v>802620500.00000012</v>
      </c>
      <c r="V377" s="86">
        <v>1459310000</v>
      </c>
      <c r="W377" s="87">
        <v>80262050.000000015</v>
      </c>
      <c r="X377" s="88">
        <v>1539572050</v>
      </c>
      <c r="Y377" s="89">
        <v>153957205</v>
      </c>
      <c r="Z377" s="37"/>
      <c r="AA377" s="90"/>
      <c r="AB377" s="91">
        <v>104.96</v>
      </c>
      <c r="AC377" s="91">
        <v>12.04</v>
      </c>
      <c r="AD377" s="91">
        <v>141.91</v>
      </c>
      <c r="AE377" s="91">
        <v>153.94999999999999</v>
      </c>
      <c r="AF377" s="91">
        <v>258.90999999999997</v>
      </c>
    </row>
    <row r="378" spans="1:32" s="92" customFormat="1">
      <c r="A378" s="84"/>
      <c r="B378" s="84"/>
      <c r="C378" s="127" t="s">
        <v>476</v>
      </c>
      <c r="D378" s="84">
        <v>87.43</v>
      </c>
      <c r="E378" s="85">
        <v>26.447575000000001</v>
      </c>
      <c r="F378" s="73">
        <v>202.8</v>
      </c>
      <c r="G378" s="85">
        <v>61.347000000000001</v>
      </c>
      <c r="H378" s="74">
        <v>46.77</v>
      </c>
      <c r="I378" s="74">
        <v>14.147925000000001</v>
      </c>
      <c r="J378" s="74">
        <v>68.600000000000009</v>
      </c>
      <c r="K378" s="74">
        <v>20.751500000000004</v>
      </c>
      <c r="L378" s="74">
        <v>115.37</v>
      </c>
      <c r="M378" s="74">
        <v>34.899425000000001</v>
      </c>
      <c r="N378" s="84">
        <v>28.91</v>
      </c>
      <c r="O378" s="85">
        <v>8.7452749999999995</v>
      </c>
      <c r="P378" s="37"/>
      <c r="Q378" s="37"/>
      <c r="R378" s="37"/>
      <c r="S378" s="86">
        <v>10600000</v>
      </c>
      <c r="T378" s="86">
        <v>292625100</v>
      </c>
      <c r="U378" s="86">
        <v>357652900</v>
      </c>
      <c r="V378" s="86">
        <v>650278000</v>
      </c>
      <c r="W378" s="87">
        <v>35765290</v>
      </c>
      <c r="X378" s="88">
        <v>686043290</v>
      </c>
      <c r="Y378" s="89">
        <v>68604329</v>
      </c>
      <c r="Z378" s="37"/>
      <c r="AA378" s="90"/>
      <c r="AB378" s="91">
        <v>46.77</v>
      </c>
      <c r="AC378" s="91">
        <v>5.36</v>
      </c>
      <c r="AD378" s="91">
        <v>63.24</v>
      </c>
      <c r="AE378" s="91">
        <v>68.600000000000009</v>
      </c>
      <c r="AF378" s="91">
        <v>115.37</v>
      </c>
    </row>
    <row r="379" spans="1:32" s="92" customFormat="1">
      <c r="A379" s="84"/>
      <c r="B379" s="84"/>
      <c r="C379" s="127" t="s">
        <v>476</v>
      </c>
      <c r="D379" s="84">
        <v>169.26</v>
      </c>
      <c r="E379" s="85">
        <v>51.201149999999998</v>
      </c>
      <c r="F379" s="73">
        <v>392.61</v>
      </c>
      <c r="G379" s="85">
        <v>118.76452500000001</v>
      </c>
      <c r="H379" s="74">
        <v>90.54</v>
      </c>
      <c r="I379" s="74">
        <v>27.388350000000003</v>
      </c>
      <c r="J379" s="74">
        <v>132.81</v>
      </c>
      <c r="K379" s="74">
        <v>40.175024999999998</v>
      </c>
      <c r="L379" s="74">
        <v>223.35000000000002</v>
      </c>
      <c r="M379" s="74">
        <v>67.563375000000008</v>
      </c>
      <c r="N379" s="84">
        <v>55.97</v>
      </c>
      <c r="O379" s="85">
        <v>16.930924999999998</v>
      </c>
      <c r="P379" s="37"/>
      <c r="Q379" s="37"/>
      <c r="R379" s="37"/>
      <c r="S379" s="86">
        <v>10600000</v>
      </c>
      <c r="T379" s="86">
        <v>566506350</v>
      </c>
      <c r="U379" s="86">
        <v>4418142850</v>
      </c>
      <c r="V379" s="86">
        <v>1258903000</v>
      </c>
      <c r="W379" s="87">
        <v>69239665</v>
      </c>
      <c r="X379" s="88">
        <v>1328142665</v>
      </c>
      <c r="Y379" s="89">
        <v>132814266.5</v>
      </c>
      <c r="Z379" s="37"/>
      <c r="AA379" s="90"/>
      <c r="AB379" s="91">
        <v>90.54</v>
      </c>
      <c r="AC379" s="91">
        <v>10.38</v>
      </c>
      <c r="AD379" s="91">
        <v>122.43</v>
      </c>
      <c r="AE379" s="91">
        <v>132.81</v>
      </c>
      <c r="AF379" s="91">
        <v>223.35000000000002</v>
      </c>
    </row>
    <row r="380" spans="1:32">
      <c r="A380" s="404" t="s">
        <v>433</v>
      </c>
      <c r="B380" s="405"/>
      <c r="C380" s="125">
        <v>25</v>
      </c>
      <c r="D380" s="31">
        <v>2962.83</v>
      </c>
      <c r="E380" s="31">
        <v>896.25607500000012</v>
      </c>
      <c r="F380" s="31">
        <v>6636.239999999998</v>
      </c>
      <c r="G380" s="31">
        <v>2007.4626000000003</v>
      </c>
      <c r="H380" s="31">
        <v>1348.5699999999997</v>
      </c>
      <c r="I380" s="31">
        <v>407.94242500000007</v>
      </c>
      <c r="J380" s="31">
        <v>2324.8399999999997</v>
      </c>
      <c r="K380" s="31">
        <v>703.26409999999987</v>
      </c>
      <c r="L380" s="31">
        <v>3673.4099999999994</v>
      </c>
      <c r="M380" s="31">
        <v>1111.2065250000003</v>
      </c>
      <c r="N380" s="31">
        <v>979.70999999999992</v>
      </c>
      <c r="O380" s="31">
        <v>296.36227499999995</v>
      </c>
      <c r="P380" s="30">
        <v>52953.96608815949</v>
      </c>
      <c r="Q380" s="30">
        <v>59884000</v>
      </c>
      <c r="R380" s="30">
        <v>598840000</v>
      </c>
      <c r="S380" s="30">
        <v>10599997.838222804</v>
      </c>
      <c r="T380" s="30">
        <v>4181350500</v>
      </c>
      <c r="U380" s="30">
        <v>8836285700</v>
      </c>
      <c r="V380" s="30">
        <v>9291890000</v>
      </c>
      <c r="W380" s="30">
        <v>511053950.00000006</v>
      </c>
      <c r="X380" s="30">
        <v>9802943950</v>
      </c>
      <c r="Y380" s="43"/>
      <c r="Z380" s="25"/>
      <c r="AB380" s="42"/>
      <c r="AC380" s="42"/>
      <c r="AD380" s="42"/>
      <c r="AE380" s="42"/>
      <c r="AF380" s="42"/>
    </row>
    <row r="381" spans="1:32">
      <c r="A381" s="24" t="s">
        <v>330</v>
      </c>
      <c r="B381" s="23" t="s">
        <v>436</v>
      </c>
      <c r="C381" s="126" t="s">
        <v>406</v>
      </c>
      <c r="D381" s="34">
        <v>76.7</v>
      </c>
      <c r="E381" s="17">
        <v>23.201750000000001</v>
      </c>
      <c r="F381" s="18">
        <v>167.33999999999997</v>
      </c>
      <c r="G381" s="17">
        <v>50.620349999999988</v>
      </c>
      <c r="H381" s="45">
        <v>30.45</v>
      </c>
      <c r="I381" s="45">
        <v>9.2111249999999991</v>
      </c>
      <c r="J381" s="45">
        <v>60.19</v>
      </c>
      <c r="K381" s="45">
        <v>18.207474999999999</v>
      </c>
      <c r="L381" s="45">
        <v>90.639999999999986</v>
      </c>
      <c r="M381" s="45">
        <v>27.418599999999994</v>
      </c>
      <c r="N381" s="23">
        <v>25.36</v>
      </c>
      <c r="O381" s="17">
        <v>7.6713999999999993</v>
      </c>
      <c r="P381" s="25">
        <v>50987.399336432893</v>
      </c>
      <c r="Q381" s="25">
        <v>2581000</v>
      </c>
      <c r="R381" s="25">
        <v>25810000</v>
      </c>
      <c r="S381" s="25"/>
      <c r="T381" s="25"/>
      <c r="U381" s="25"/>
      <c r="V381" s="25"/>
      <c r="W381" s="38">
        <v>258100</v>
      </c>
      <c r="X381" s="40">
        <v>2839100</v>
      </c>
      <c r="Y381" s="39"/>
      <c r="Z381" s="25">
        <v>2581000</v>
      </c>
      <c r="AA381" s="13" t="s">
        <v>362</v>
      </c>
      <c r="AB381" s="42">
        <v>30.45</v>
      </c>
      <c r="AC381" s="42">
        <v>4.71</v>
      </c>
      <c r="AD381" s="42">
        <v>55.48</v>
      </c>
      <c r="AE381" s="42">
        <v>60.19</v>
      </c>
      <c r="AF381" s="42">
        <v>90.639999999999986</v>
      </c>
    </row>
    <row r="382" spans="1:32">
      <c r="A382" s="24" t="s">
        <v>331</v>
      </c>
      <c r="B382" s="16" t="s">
        <v>436</v>
      </c>
      <c r="C382" s="126" t="s">
        <v>406</v>
      </c>
      <c r="D382" s="34">
        <v>111.64</v>
      </c>
      <c r="E382" s="17">
        <v>33.771099999999997</v>
      </c>
      <c r="F382" s="18">
        <v>243.56</v>
      </c>
      <c r="G382" s="17">
        <v>73.676900000000003</v>
      </c>
      <c r="H382" s="45">
        <v>44.32</v>
      </c>
      <c r="I382" s="45">
        <v>13.4068</v>
      </c>
      <c r="J382" s="45">
        <v>87.6</v>
      </c>
      <c r="K382" s="45">
        <v>26.498999999999999</v>
      </c>
      <c r="L382" s="45">
        <v>131.92000000000002</v>
      </c>
      <c r="M382" s="45">
        <v>39.905800000000006</v>
      </c>
      <c r="N382" s="23">
        <v>36.92</v>
      </c>
      <c r="O382" s="17">
        <v>11.1683</v>
      </c>
      <c r="P382" s="25">
        <v>59000.853727559108</v>
      </c>
      <c r="Q382" s="25">
        <v>4347000</v>
      </c>
      <c r="R382" s="25">
        <v>43470000</v>
      </c>
      <c r="S382" s="25"/>
      <c r="T382" s="25"/>
      <c r="U382" s="25"/>
      <c r="V382" s="25"/>
      <c r="W382" s="38">
        <v>434700</v>
      </c>
      <c r="X382" s="40">
        <v>4781700</v>
      </c>
      <c r="Y382" s="39"/>
      <c r="Z382" s="25">
        <v>4347000</v>
      </c>
      <c r="AA382" s="13" t="s">
        <v>407</v>
      </c>
      <c r="AB382" s="42">
        <v>44.32</v>
      </c>
      <c r="AC382" s="42">
        <v>6.85</v>
      </c>
      <c r="AD382" s="42">
        <v>80.75</v>
      </c>
      <c r="AE382" s="42">
        <v>87.6</v>
      </c>
      <c r="AF382" s="42">
        <v>131.92000000000002</v>
      </c>
    </row>
    <row r="383" spans="1:32">
      <c r="A383" s="24" t="s">
        <v>332</v>
      </c>
      <c r="B383" s="23" t="s">
        <v>436</v>
      </c>
      <c r="C383" s="126" t="s">
        <v>406</v>
      </c>
      <c r="D383" s="23">
        <v>102.11</v>
      </c>
      <c r="E383" s="17">
        <v>30.888275</v>
      </c>
      <c r="F383" s="18">
        <v>222.76999999999998</v>
      </c>
      <c r="G383" s="17">
        <v>67.387924999999996</v>
      </c>
      <c r="H383" s="45">
        <v>40.54</v>
      </c>
      <c r="I383" s="45">
        <v>12.263349999999999</v>
      </c>
      <c r="J383" s="45">
        <v>80.12</v>
      </c>
      <c r="K383" s="45">
        <v>24.2363</v>
      </c>
      <c r="L383" s="45">
        <v>120.66</v>
      </c>
      <c r="M383" s="45">
        <v>36.499649999999995</v>
      </c>
      <c r="N383" s="23">
        <v>33.770000000000003</v>
      </c>
      <c r="O383" s="17">
        <v>10.215425000000002</v>
      </c>
      <c r="P383" s="25">
        <v>52991.689534883291</v>
      </c>
      <c r="Q383" s="25">
        <v>3571000</v>
      </c>
      <c r="R383" s="25">
        <v>35710000</v>
      </c>
      <c r="S383" s="25"/>
      <c r="T383" s="25"/>
      <c r="U383" s="25"/>
      <c r="V383" s="25"/>
      <c r="W383" s="38">
        <v>357100</v>
      </c>
      <c r="X383" s="40">
        <v>3928100</v>
      </c>
      <c r="Y383" s="39"/>
      <c r="Z383" s="25">
        <v>3571000</v>
      </c>
      <c r="AA383" s="13" t="s">
        <v>362</v>
      </c>
      <c r="AB383" s="42">
        <v>40.54</v>
      </c>
      <c r="AC383" s="42">
        <v>6.26</v>
      </c>
      <c r="AD383" s="42">
        <v>73.86</v>
      </c>
      <c r="AE383" s="42">
        <v>80.12</v>
      </c>
      <c r="AF383" s="42">
        <v>120.66</v>
      </c>
    </row>
    <row r="384" spans="1:32">
      <c r="A384" s="24" t="s">
        <v>333</v>
      </c>
      <c r="B384" s="23" t="s">
        <v>436</v>
      </c>
      <c r="C384" s="126" t="s">
        <v>406</v>
      </c>
      <c r="D384" s="23">
        <v>81.69</v>
      </c>
      <c r="E384" s="17">
        <v>24.711224999999999</v>
      </c>
      <c r="F384" s="18">
        <v>178.22</v>
      </c>
      <c r="G384" s="17">
        <v>53.911549999999998</v>
      </c>
      <c r="H384" s="45">
        <v>32.43</v>
      </c>
      <c r="I384" s="45">
        <v>9.8100749999999994</v>
      </c>
      <c r="J384" s="45">
        <v>64.100000000000009</v>
      </c>
      <c r="K384" s="45">
        <v>19.390250000000002</v>
      </c>
      <c r="L384" s="45">
        <v>96.53</v>
      </c>
      <c r="M384" s="45">
        <v>29.200324999999999</v>
      </c>
      <c r="N384" s="23">
        <v>27.01</v>
      </c>
      <c r="O384" s="17">
        <v>8.1705249999999996</v>
      </c>
      <c r="P384" s="25">
        <v>52994.209960574313</v>
      </c>
      <c r="Q384" s="25">
        <v>2857000</v>
      </c>
      <c r="R384" s="25">
        <v>28570000</v>
      </c>
      <c r="S384" s="25"/>
      <c r="T384" s="25"/>
      <c r="U384" s="25"/>
      <c r="V384" s="25"/>
      <c r="W384" s="38">
        <v>285700</v>
      </c>
      <c r="X384" s="40">
        <v>3142700</v>
      </c>
      <c r="Y384" s="39"/>
      <c r="Z384" s="25">
        <v>2857000</v>
      </c>
      <c r="AA384" s="13" t="s">
        <v>362</v>
      </c>
      <c r="AB384" s="42">
        <v>32.43</v>
      </c>
      <c r="AC384" s="42">
        <v>5.01</v>
      </c>
      <c r="AD384" s="42">
        <v>59.09</v>
      </c>
      <c r="AE384" s="42">
        <v>64.100000000000009</v>
      </c>
      <c r="AF384" s="42">
        <v>96.53</v>
      </c>
    </row>
    <row r="385" spans="1:32">
      <c r="A385" s="24" t="s">
        <v>334</v>
      </c>
      <c r="B385" s="23" t="s">
        <v>436</v>
      </c>
      <c r="C385" s="126" t="s">
        <v>406</v>
      </c>
      <c r="D385" s="23">
        <v>81.69</v>
      </c>
      <c r="E385" s="17">
        <v>24.711224999999999</v>
      </c>
      <c r="F385" s="18">
        <v>178.22</v>
      </c>
      <c r="G385" s="17">
        <v>53.911549999999998</v>
      </c>
      <c r="H385" s="45">
        <v>32.43</v>
      </c>
      <c r="I385" s="45">
        <v>9.8100749999999994</v>
      </c>
      <c r="J385" s="45">
        <v>64.100000000000009</v>
      </c>
      <c r="K385" s="45">
        <v>19.390250000000002</v>
      </c>
      <c r="L385" s="45">
        <v>96.53</v>
      </c>
      <c r="M385" s="45">
        <v>29.200324999999999</v>
      </c>
      <c r="N385" s="23">
        <v>27.01</v>
      </c>
      <c r="O385" s="17">
        <v>8.1705249999999996</v>
      </c>
      <c r="P385" s="25">
        <v>52994.209960574313</v>
      </c>
      <c r="Q385" s="25">
        <v>2857000</v>
      </c>
      <c r="R385" s="25">
        <v>28570000</v>
      </c>
      <c r="S385" s="25"/>
      <c r="T385" s="25"/>
      <c r="U385" s="25"/>
      <c r="V385" s="25"/>
      <c r="W385" s="38">
        <v>285700</v>
      </c>
      <c r="X385" s="40">
        <v>3142700</v>
      </c>
      <c r="Y385" s="39"/>
      <c r="Z385" s="25">
        <v>2857000</v>
      </c>
      <c r="AA385" s="13" t="s">
        <v>362</v>
      </c>
      <c r="AB385" s="42">
        <v>32.43</v>
      </c>
      <c r="AC385" s="42">
        <v>5.01</v>
      </c>
      <c r="AD385" s="42">
        <v>59.09</v>
      </c>
      <c r="AE385" s="42">
        <v>64.100000000000009</v>
      </c>
      <c r="AF385" s="42">
        <v>96.53</v>
      </c>
    </row>
    <row r="386" spans="1:32">
      <c r="A386" s="24" t="s">
        <v>335</v>
      </c>
      <c r="B386" s="23" t="s">
        <v>436</v>
      </c>
      <c r="C386" s="126" t="s">
        <v>406</v>
      </c>
      <c r="D386" s="23">
        <v>66.97</v>
      </c>
      <c r="E386" s="17">
        <v>20.258424999999999</v>
      </c>
      <c r="F386" s="18">
        <v>146.11000000000001</v>
      </c>
      <c r="G386" s="17">
        <v>44.198275000000002</v>
      </c>
      <c r="H386" s="45">
        <v>26.59</v>
      </c>
      <c r="I386" s="45">
        <v>8.043474999999999</v>
      </c>
      <c r="J386" s="45">
        <v>52.55</v>
      </c>
      <c r="K386" s="45">
        <v>15.896374999999999</v>
      </c>
      <c r="L386" s="45">
        <v>79.14</v>
      </c>
      <c r="M386" s="45">
        <v>23.93985</v>
      </c>
      <c r="N386" s="23">
        <v>22.15</v>
      </c>
      <c r="O386" s="17">
        <v>6.7003749999999993</v>
      </c>
      <c r="P386" s="25">
        <v>50997.465398819295</v>
      </c>
      <c r="Q386" s="25">
        <v>2254000</v>
      </c>
      <c r="R386" s="25">
        <v>22540000</v>
      </c>
      <c r="S386" s="25"/>
      <c r="T386" s="25"/>
      <c r="U386" s="25"/>
      <c r="V386" s="25"/>
      <c r="W386" s="38">
        <v>225400</v>
      </c>
      <c r="X386" s="40">
        <v>2479400</v>
      </c>
      <c r="Y386" s="39"/>
      <c r="Z386" s="25">
        <v>2254000</v>
      </c>
      <c r="AA386" s="13" t="s">
        <v>362</v>
      </c>
      <c r="AB386" s="42">
        <v>26.59</v>
      </c>
      <c r="AC386" s="42">
        <v>4.1100000000000003</v>
      </c>
      <c r="AD386" s="42">
        <v>48.44</v>
      </c>
      <c r="AE386" s="42">
        <v>52.55</v>
      </c>
      <c r="AF386" s="42">
        <v>79.14</v>
      </c>
    </row>
    <row r="387" spans="1:32">
      <c r="A387" s="24" t="s">
        <v>336</v>
      </c>
      <c r="B387" s="23" t="s">
        <v>436</v>
      </c>
      <c r="C387" s="126" t="s">
        <v>406</v>
      </c>
      <c r="D387" s="23">
        <v>81.69</v>
      </c>
      <c r="E387" s="17">
        <v>24.711224999999999</v>
      </c>
      <c r="F387" s="18">
        <v>178.22</v>
      </c>
      <c r="G387" s="17">
        <v>53.911549999999998</v>
      </c>
      <c r="H387" s="45">
        <v>32.43</v>
      </c>
      <c r="I387" s="45">
        <v>9.8100749999999994</v>
      </c>
      <c r="J387" s="45">
        <v>64.100000000000009</v>
      </c>
      <c r="K387" s="45">
        <v>19.390250000000002</v>
      </c>
      <c r="L387" s="45">
        <v>96.53</v>
      </c>
      <c r="M387" s="45">
        <v>29.200324999999999</v>
      </c>
      <c r="N387" s="23">
        <v>27.01</v>
      </c>
      <c r="O387" s="17">
        <v>8.1705249999999996</v>
      </c>
      <c r="P387" s="25">
        <v>52994.209960574313</v>
      </c>
      <c r="Q387" s="25">
        <v>2857000</v>
      </c>
      <c r="R387" s="25">
        <v>28570000</v>
      </c>
      <c r="S387" s="25"/>
      <c r="T387" s="25"/>
      <c r="U387" s="25"/>
      <c r="V387" s="25"/>
      <c r="W387" s="38">
        <v>285700</v>
      </c>
      <c r="X387" s="40">
        <v>3142700</v>
      </c>
      <c r="Y387" s="39"/>
      <c r="Z387" s="25">
        <v>2857000</v>
      </c>
      <c r="AA387" s="13" t="s">
        <v>362</v>
      </c>
      <c r="AB387" s="42">
        <v>32.43</v>
      </c>
      <c r="AC387" s="42">
        <v>5.01</v>
      </c>
      <c r="AD387" s="42">
        <v>59.09</v>
      </c>
      <c r="AE387" s="42">
        <v>64.100000000000009</v>
      </c>
      <c r="AF387" s="42">
        <v>96.53</v>
      </c>
    </row>
    <row r="388" spans="1:32">
      <c r="A388" s="24" t="s">
        <v>337</v>
      </c>
      <c r="B388" s="23" t="s">
        <v>436</v>
      </c>
      <c r="C388" s="126" t="s">
        <v>406</v>
      </c>
      <c r="D388" s="23">
        <v>81.69</v>
      </c>
      <c r="E388" s="17">
        <v>24.711224999999999</v>
      </c>
      <c r="F388" s="18">
        <v>178.22</v>
      </c>
      <c r="G388" s="17">
        <v>53.911549999999998</v>
      </c>
      <c r="H388" s="45">
        <v>32.43</v>
      </c>
      <c r="I388" s="45">
        <v>9.8100749999999994</v>
      </c>
      <c r="J388" s="45">
        <v>64.100000000000009</v>
      </c>
      <c r="K388" s="45">
        <v>19.390250000000002</v>
      </c>
      <c r="L388" s="45">
        <v>96.53</v>
      </c>
      <c r="M388" s="45">
        <v>29.200324999999999</v>
      </c>
      <c r="N388" s="23">
        <v>27.01</v>
      </c>
      <c r="O388" s="17">
        <v>8.1705249999999996</v>
      </c>
      <c r="P388" s="25">
        <v>52994.209960574313</v>
      </c>
      <c r="Q388" s="25">
        <v>2857000</v>
      </c>
      <c r="R388" s="25">
        <v>28570000</v>
      </c>
      <c r="S388" s="25"/>
      <c r="T388" s="25"/>
      <c r="U388" s="25"/>
      <c r="V388" s="25"/>
      <c r="W388" s="38">
        <v>285700</v>
      </c>
      <c r="X388" s="40">
        <v>3142700</v>
      </c>
      <c r="Y388" s="39"/>
      <c r="Z388" s="25">
        <v>2857000</v>
      </c>
      <c r="AA388" s="13" t="s">
        <v>362</v>
      </c>
      <c r="AB388" s="42">
        <v>32.43</v>
      </c>
      <c r="AC388" s="42">
        <v>5.01</v>
      </c>
      <c r="AD388" s="42">
        <v>59.09</v>
      </c>
      <c r="AE388" s="42">
        <v>64.100000000000009</v>
      </c>
      <c r="AF388" s="42">
        <v>96.53</v>
      </c>
    </row>
    <row r="389" spans="1:32">
      <c r="A389" s="24" t="s">
        <v>338</v>
      </c>
      <c r="B389" s="23" t="s">
        <v>436</v>
      </c>
      <c r="C389" s="126" t="s">
        <v>406</v>
      </c>
      <c r="D389" s="23">
        <v>119.62</v>
      </c>
      <c r="E389" s="17">
        <v>36.185049999999997</v>
      </c>
      <c r="F389" s="18">
        <v>260.97000000000003</v>
      </c>
      <c r="G389" s="17">
        <v>78.943425000000005</v>
      </c>
      <c r="H389" s="45">
        <v>47.49</v>
      </c>
      <c r="I389" s="45">
        <v>14.365724999999999</v>
      </c>
      <c r="J389" s="45">
        <v>93.86</v>
      </c>
      <c r="K389" s="45">
        <v>28.39265</v>
      </c>
      <c r="L389" s="45">
        <v>141.35</v>
      </c>
      <c r="M389" s="45">
        <v>42.758374999999994</v>
      </c>
      <c r="N389" s="23">
        <v>39.56</v>
      </c>
      <c r="O389" s="17">
        <v>11.966900000000001</v>
      </c>
      <c r="P389" s="25">
        <v>52999.980682368412</v>
      </c>
      <c r="Q389" s="25">
        <v>4184000</v>
      </c>
      <c r="R389" s="25">
        <v>41840000</v>
      </c>
      <c r="S389" s="25"/>
      <c r="T389" s="25"/>
      <c r="U389" s="25"/>
      <c r="V389" s="25"/>
      <c r="W389" s="38">
        <v>418400</v>
      </c>
      <c r="X389" s="40">
        <v>4602400</v>
      </c>
      <c r="Y389" s="39"/>
      <c r="Z389" s="25">
        <v>4184000</v>
      </c>
      <c r="AA389" s="13" t="s">
        <v>362</v>
      </c>
      <c r="AB389" s="42">
        <v>47.49</v>
      </c>
      <c r="AC389" s="42">
        <v>7.34</v>
      </c>
      <c r="AD389" s="42">
        <v>86.52</v>
      </c>
      <c r="AE389" s="42">
        <v>93.86</v>
      </c>
      <c r="AF389" s="42">
        <v>141.35</v>
      </c>
    </row>
    <row r="390" spans="1:32">
      <c r="A390" s="24" t="s">
        <v>339</v>
      </c>
      <c r="B390" s="23" t="s">
        <v>436</v>
      </c>
      <c r="C390" s="126" t="s">
        <v>406</v>
      </c>
      <c r="D390" s="34">
        <v>109.6</v>
      </c>
      <c r="E390" s="17">
        <v>33.153999999999996</v>
      </c>
      <c r="F390" s="18">
        <v>239.10999999999999</v>
      </c>
      <c r="G390" s="17">
        <v>72.330774999999988</v>
      </c>
      <c r="H390" s="45">
        <v>43.51</v>
      </c>
      <c r="I390" s="45">
        <v>13.161774999999999</v>
      </c>
      <c r="J390" s="45">
        <v>86</v>
      </c>
      <c r="K390" s="45">
        <v>26.015000000000001</v>
      </c>
      <c r="L390" s="45">
        <v>129.51</v>
      </c>
      <c r="M390" s="45">
        <v>39.176774999999999</v>
      </c>
      <c r="N390" s="23">
        <v>36.24</v>
      </c>
      <c r="O390" s="17">
        <v>10.9626</v>
      </c>
      <c r="P390" s="25">
        <v>52992.657689621061</v>
      </c>
      <c r="Q390" s="25">
        <v>3833000</v>
      </c>
      <c r="R390" s="25">
        <v>38330000</v>
      </c>
      <c r="S390" s="25"/>
      <c r="T390" s="25"/>
      <c r="U390" s="25"/>
      <c r="V390" s="25"/>
      <c r="W390" s="38">
        <v>383300</v>
      </c>
      <c r="X390" s="40">
        <v>4216300</v>
      </c>
      <c r="Y390" s="39"/>
      <c r="Z390" s="25">
        <v>3833000</v>
      </c>
      <c r="AA390" s="13" t="s">
        <v>362</v>
      </c>
      <c r="AB390" s="42">
        <v>43.51</v>
      </c>
      <c r="AC390" s="42">
        <v>6.72</v>
      </c>
      <c r="AD390" s="42">
        <v>79.28</v>
      </c>
      <c r="AE390" s="42">
        <v>86</v>
      </c>
      <c r="AF390" s="42">
        <v>129.51</v>
      </c>
    </row>
    <row r="391" spans="1:32">
      <c r="A391" s="24" t="s">
        <v>340</v>
      </c>
      <c r="B391" s="23" t="s">
        <v>436</v>
      </c>
      <c r="C391" s="126" t="s">
        <v>406</v>
      </c>
      <c r="D391" s="23">
        <v>119.62</v>
      </c>
      <c r="E391" s="17">
        <v>36.185049999999997</v>
      </c>
      <c r="F391" s="18">
        <v>260.97000000000003</v>
      </c>
      <c r="G391" s="17">
        <v>78.943425000000005</v>
      </c>
      <c r="H391" s="45">
        <v>47.49</v>
      </c>
      <c r="I391" s="45">
        <v>14.365724999999999</v>
      </c>
      <c r="J391" s="45">
        <v>93.86</v>
      </c>
      <c r="K391" s="45">
        <v>28.39265</v>
      </c>
      <c r="L391" s="45">
        <v>141.35</v>
      </c>
      <c r="M391" s="45">
        <v>42.758374999999994</v>
      </c>
      <c r="N391" s="23">
        <v>39.56</v>
      </c>
      <c r="O391" s="17">
        <v>11.966900000000001</v>
      </c>
      <c r="P391" s="25">
        <v>52999.980682368412</v>
      </c>
      <c r="Q391" s="25">
        <v>4184000</v>
      </c>
      <c r="R391" s="25">
        <v>41840000</v>
      </c>
      <c r="S391" s="25"/>
      <c r="T391" s="25"/>
      <c r="U391" s="25"/>
      <c r="V391" s="25"/>
      <c r="W391" s="38">
        <v>418400</v>
      </c>
      <c r="X391" s="40">
        <v>4602400</v>
      </c>
      <c r="Y391" s="39"/>
      <c r="Z391" s="25">
        <v>4184000</v>
      </c>
      <c r="AA391" s="13" t="s">
        <v>362</v>
      </c>
      <c r="AB391" s="42">
        <v>47.49</v>
      </c>
      <c r="AC391" s="42">
        <v>7.34</v>
      </c>
      <c r="AD391" s="42">
        <v>86.52</v>
      </c>
      <c r="AE391" s="42">
        <v>93.86</v>
      </c>
      <c r="AF391" s="42">
        <v>141.35</v>
      </c>
    </row>
    <row r="392" spans="1:32">
      <c r="A392" s="24" t="s">
        <v>341</v>
      </c>
      <c r="B392" s="23" t="s">
        <v>436</v>
      </c>
      <c r="C392" s="126" t="s">
        <v>406</v>
      </c>
      <c r="D392" s="23">
        <v>81.69</v>
      </c>
      <c r="E392" s="17">
        <v>24.711224999999999</v>
      </c>
      <c r="F392" s="18">
        <v>178.22</v>
      </c>
      <c r="G392" s="17">
        <v>53.911549999999998</v>
      </c>
      <c r="H392" s="45">
        <v>32.43</v>
      </c>
      <c r="I392" s="45">
        <v>9.8100749999999994</v>
      </c>
      <c r="J392" s="45">
        <v>64.100000000000009</v>
      </c>
      <c r="K392" s="45">
        <v>19.390250000000002</v>
      </c>
      <c r="L392" s="45">
        <v>96.53</v>
      </c>
      <c r="M392" s="45">
        <v>29.200324999999999</v>
      </c>
      <c r="N392" s="23">
        <v>27.01</v>
      </c>
      <c r="O392" s="17">
        <v>8.1705249999999996</v>
      </c>
      <c r="P392" s="25">
        <v>52994.209960574313</v>
      </c>
      <c r="Q392" s="25">
        <v>2857000</v>
      </c>
      <c r="R392" s="25">
        <v>28570000</v>
      </c>
      <c r="S392" s="25"/>
      <c r="T392" s="25"/>
      <c r="U392" s="25"/>
      <c r="V392" s="25"/>
      <c r="W392" s="38">
        <v>285700</v>
      </c>
      <c r="X392" s="40">
        <v>3142700</v>
      </c>
      <c r="Y392" s="39"/>
      <c r="Z392" s="25">
        <v>2857000</v>
      </c>
      <c r="AA392" s="13" t="s">
        <v>362</v>
      </c>
      <c r="AB392" s="42">
        <v>32.43</v>
      </c>
      <c r="AC392" s="42">
        <v>5.01</v>
      </c>
      <c r="AD392" s="42">
        <v>59.09</v>
      </c>
      <c r="AE392" s="42">
        <v>64.100000000000009</v>
      </c>
      <c r="AF392" s="42">
        <v>96.53</v>
      </c>
    </row>
    <row r="393" spans="1:32">
      <c r="A393" s="24" t="s">
        <v>342</v>
      </c>
      <c r="B393" s="23" t="s">
        <v>436</v>
      </c>
      <c r="C393" s="126" t="s">
        <v>406</v>
      </c>
      <c r="D393" s="23">
        <v>81.69</v>
      </c>
      <c r="E393" s="17">
        <v>24.711224999999999</v>
      </c>
      <c r="F393" s="18">
        <v>178.22</v>
      </c>
      <c r="G393" s="17">
        <v>53.911549999999998</v>
      </c>
      <c r="H393" s="45">
        <v>32.43</v>
      </c>
      <c r="I393" s="45">
        <v>9.8100749999999994</v>
      </c>
      <c r="J393" s="45">
        <v>64.100000000000009</v>
      </c>
      <c r="K393" s="45">
        <v>19.390250000000002</v>
      </c>
      <c r="L393" s="45">
        <v>96.53</v>
      </c>
      <c r="M393" s="45">
        <v>29.200324999999999</v>
      </c>
      <c r="N393" s="23">
        <v>27.01</v>
      </c>
      <c r="O393" s="17">
        <v>8.1705249999999996</v>
      </c>
      <c r="P393" s="25">
        <v>52994.209960574313</v>
      </c>
      <c r="Q393" s="25">
        <v>2857000</v>
      </c>
      <c r="R393" s="25">
        <v>28570000</v>
      </c>
      <c r="S393" s="25"/>
      <c r="T393" s="25"/>
      <c r="U393" s="25"/>
      <c r="V393" s="25"/>
      <c r="W393" s="38">
        <v>285700</v>
      </c>
      <c r="X393" s="40">
        <v>3142700</v>
      </c>
      <c r="Y393" s="39"/>
      <c r="Z393" s="25">
        <v>2857000</v>
      </c>
      <c r="AA393" s="13" t="s">
        <v>362</v>
      </c>
      <c r="AB393" s="42">
        <v>32.43</v>
      </c>
      <c r="AC393" s="42">
        <v>5.01</v>
      </c>
      <c r="AD393" s="42">
        <v>59.09</v>
      </c>
      <c r="AE393" s="42">
        <v>64.100000000000009</v>
      </c>
      <c r="AF393" s="42">
        <v>96.53</v>
      </c>
    </row>
    <row r="394" spans="1:32">
      <c r="A394" s="24" t="s">
        <v>343</v>
      </c>
      <c r="B394" s="23" t="s">
        <v>436</v>
      </c>
      <c r="C394" s="126" t="s">
        <v>406</v>
      </c>
      <c r="D394" s="23">
        <v>81.69</v>
      </c>
      <c r="E394" s="17">
        <v>24.711224999999999</v>
      </c>
      <c r="F394" s="18">
        <v>178.22</v>
      </c>
      <c r="G394" s="17">
        <v>53.911549999999998</v>
      </c>
      <c r="H394" s="45">
        <v>32.43</v>
      </c>
      <c r="I394" s="45">
        <v>9.8100749999999994</v>
      </c>
      <c r="J394" s="45">
        <v>64.100000000000009</v>
      </c>
      <c r="K394" s="45">
        <v>19.390250000000002</v>
      </c>
      <c r="L394" s="45">
        <v>96.53</v>
      </c>
      <c r="M394" s="45">
        <v>29.200324999999999</v>
      </c>
      <c r="N394" s="23">
        <v>27.01</v>
      </c>
      <c r="O394" s="17">
        <v>8.1705249999999996</v>
      </c>
      <c r="P394" s="25">
        <v>52994.209960574313</v>
      </c>
      <c r="Q394" s="25">
        <v>2857000</v>
      </c>
      <c r="R394" s="25">
        <v>28570000</v>
      </c>
      <c r="S394" s="25"/>
      <c r="T394" s="25"/>
      <c r="U394" s="25"/>
      <c r="V394" s="25"/>
      <c r="W394" s="38">
        <v>285700</v>
      </c>
      <c r="X394" s="40">
        <v>3142700</v>
      </c>
      <c r="Y394" s="39"/>
      <c r="Z394" s="25">
        <v>2857000</v>
      </c>
      <c r="AA394" s="13" t="s">
        <v>362</v>
      </c>
      <c r="AB394" s="42">
        <v>32.43</v>
      </c>
      <c r="AC394" s="42">
        <v>5.01</v>
      </c>
      <c r="AD394" s="42">
        <v>59.09</v>
      </c>
      <c r="AE394" s="42">
        <v>64.100000000000009</v>
      </c>
      <c r="AF394" s="42">
        <v>96.53</v>
      </c>
    </row>
    <row r="395" spans="1:32">
      <c r="A395" s="24" t="s">
        <v>344</v>
      </c>
      <c r="B395" s="23" t="s">
        <v>436</v>
      </c>
      <c r="C395" s="126" t="s">
        <v>406</v>
      </c>
      <c r="D395" s="23">
        <v>81.69</v>
      </c>
      <c r="E395" s="17">
        <v>24.711224999999999</v>
      </c>
      <c r="F395" s="18">
        <v>178.22</v>
      </c>
      <c r="G395" s="17">
        <v>53.911549999999998</v>
      </c>
      <c r="H395" s="45">
        <v>32.43</v>
      </c>
      <c r="I395" s="45">
        <v>9.8100749999999994</v>
      </c>
      <c r="J395" s="45">
        <v>64.100000000000009</v>
      </c>
      <c r="K395" s="45">
        <v>19.390250000000002</v>
      </c>
      <c r="L395" s="45">
        <v>96.53</v>
      </c>
      <c r="M395" s="45">
        <v>29.200324999999999</v>
      </c>
      <c r="N395" s="23">
        <v>27.01</v>
      </c>
      <c r="O395" s="17">
        <v>8.1705249999999996</v>
      </c>
      <c r="P395" s="25">
        <v>52994.209960574313</v>
      </c>
      <c r="Q395" s="25">
        <v>2857000</v>
      </c>
      <c r="R395" s="25">
        <v>28570000</v>
      </c>
      <c r="S395" s="25"/>
      <c r="T395" s="25"/>
      <c r="U395" s="25"/>
      <c r="V395" s="25"/>
      <c r="W395" s="38">
        <v>285700</v>
      </c>
      <c r="X395" s="40">
        <v>3142700</v>
      </c>
      <c r="Y395" s="39"/>
      <c r="Z395" s="25">
        <v>2857000</v>
      </c>
      <c r="AA395" s="13" t="s">
        <v>362</v>
      </c>
      <c r="AB395" s="42">
        <v>32.43</v>
      </c>
      <c r="AC395" s="42">
        <v>5.01</v>
      </c>
      <c r="AD395" s="42">
        <v>59.09</v>
      </c>
      <c r="AE395" s="42">
        <v>64.100000000000009</v>
      </c>
      <c r="AF395" s="42">
        <v>96.53</v>
      </c>
    </row>
    <row r="396" spans="1:32">
      <c r="A396" s="24" t="s">
        <v>345</v>
      </c>
      <c r="B396" s="23" t="s">
        <v>436</v>
      </c>
      <c r="C396" s="126" t="s">
        <v>406</v>
      </c>
      <c r="D396" s="23">
        <v>91.22</v>
      </c>
      <c r="E396" s="17">
        <v>27.594049999999999</v>
      </c>
      <c r="F396" s="18">
        <v>199.02</v>
      </c>
      <c r="G396" s="17">
        <v>60.20355</v>
      </c>
      <c r="H396" s="45">
        <v>36.22</v>
      </c>
      <c r="I396" s="45">
        <v>10.95655</v>
      </c>
      <c r="J396" s="45">
        <v>71.58</v>
      </c>
      <c r="K396" s="45">
        <v>21.652950000000001</v>
      </c>
      <c r="L396" s="45">
        <v>107.80000000000001</v>
      </c>
      <c r="M396" s="45">
        <v>32.609500000000004</v>
      </c>
      <c r="N396" s="23">
        <v>30.16</v>
      </c>
      <c r="O396" s="17">
        <v>9.1234000000000002</v>
      </c>
      <c r="P396" s="25">
        <v>52986.908579311355</v>
      </c>
      <c r="Q396" s="25">
        <v>3190000</v>
      </c>
      <c r="R396" s="25">
        <v>31900000</v>
      </c>
      <c r="S396" s="25"/>
      <c r="T396" s="25"/>
      <c r="U396" s="25"/>
      <c r="V396" s="25"/>
      <c r="W396" s="38">
        <v>319000</v>
      </c>
      <c r="X396" s="40">
        <v>3509000</v>
      </c>
      <c r="Y396" s="39"/>
      <c r="Z396" s="25">
        <v>3190000</v>
      </c>
      <c r="AA396" s="13" t="s">
        <v>362</v>
      </c>
      <c r="AB396" s="42">
        <v>36.22</v>
      </c>
      <c r="AC396" s="42">
        <v>5.6</v>
      </c>
      <c r="AD396" s="42">
        <v>65.98</v>
      </c>
      <c r="AE396" s="42">
        <v>71.58</v>
      </c>
      <c r="AF396" s="42">
        <v>107.80000000000001</v>
      </c>
    </row>
    <row r="397" spans="1:32" s="92" customFormat="1">
      <c r="A397" s="84"/>
      <c r="B397" s="84"/>
      <c r="C397" s="127" t="s">
        <v>476</v>
      </c>
      <c r="D397" s="84">
        <v>661.54</v>
      </c>
      <c r="E397" s="85">
        <v>200.11584999999999</v>
      </c>
      <c r="F397" s="73">
        <v>1534.52</v>
      </c>
      <c r="G397" s="85">
        <v>464.19229999999999</v>
      </c>
      <c r="H397" s="74">
        <v>353.89</v>
      </c>
      <c r="I397" s="74">
        <v>107.05172499999999</v>
      </c>
      <c r="J397" s="74">
        <v>519.09</v>
      </c>
      <c r="K397" s="74">
        <v>157.02472500000002</v>
      </c>
      <c r="L397" s="74">
        <v>872.98</v>
      </c>
      <c r="M397" s="74">
        <v>264.07645000000002</v>
      </c>
      <c r="N397" s="108">
        <v>218.76</v>
      </c>
      <c r="O397" s="85">
        <v>66.174899999999994</v>
      </c>
      <c r="P397" s="109"/>
      <c r="Q397" s="109"/>
      <c r="R397" s="109"/>
      <c r="S397" s="110">
        <v>10800000</v>
      </c>
      <c r="T397" s="110">
        <v>2255974200</v>
      </c>
      <c r="U397" s="110">
        <v>2757301800</v>
      </c>
      <c r="V397" s="110">
        <v>5013276000</v>
      </c>
      <c r="W397" s="111">
        <v>275730180</v>
      </c>
      <c r="X397" s="112">
        <v>5289006180</v>
      </c>
      <c r="Y397" s="89">
        <v>528900618</v>
      </c>
      <c r="Z397" s="37"/>
      <c r="AA397" s="90"/>
      <c r="AB397" s="91">
        <v>353.89</v>
      </c>
      <c r="AC397" s="91">
        <v>40.590000000000003</v>
      </c>
      <c r="AD397" s="91">
        <v>478.5</v>
      </c>
      <c r="AE397" s="91">
        <v>519.09</v>
      </c>
      <c r="AF397" s="91">
        <v>872.98</v>
      </c>
    </row>
    <row r="398" spans="1:32" s="92" customFormat="1">
      <c r="A398" s="84"/>
      <c r="B398" s="84"/>
      <c r="C398" s="127" t="s">
        <v>476</v>
      </c>
      <c r="D398" s="84">
        <v>321.64999999999998</v>
      </c>
      <c r="E398" s="85">
        <v>97.299124999999989</v>
      </c>
      <c r="F398" s="73">
        <v>746.08999999999992</v>
      </c>
      <c r="G398" s="85">
        <v>225.69222499999998</v>
      </c>
      <c r="H398" s="74">
        <v>172.06</v>
      </c>
      <c r="I398" s="74">
        <v>52.04815</v>
      </c>
      <c r="J398" s="74">
        <v>252.38</v>
      </c>
      <c r="K398" s="74">
        <v>76.344949999999997</v>
      </c>
      <c r="L398" s="74">
        <v>424.44</v>
      </c>
      <c r="M398" s="74">
        <v>128.3931</v>
      </c>
      <c r="N398" s="108">
        <v>106.36</v>
      </c>
      <c r="O398" s="85">
        <v>32.173899999999996</v>
      </c>
      <c r="P398" s="109"/>
      <c r="Q398" s="109"/>
      <c r="R398" s="109"/>
      <c r="S398" s="110">
        <v>10800000</v>
      </c>
      <c r="T398" s="110">
        <v>1096864200</v>
      </c>
      <c r="U398" s="110">
        <v>1340611800</v>
      </c>
      <c r="V398" s="110">
        <v>2437476000</v>
      </c>
      <c r="W398" s="111">
        <v>134061180</v>
      </c>
      <c r="X398" s="112">
        <v>2571537180</v>
      </c>
      <c r="Y398" s="89">
        <v>257153718</v>
      </c>
      <c r="Z398" s="37"/>
      <c r="AA398" s="90"/>
      <c r="AB398" s="91">
        <v>172.06</v>
      </c>
      <c r="AC398" s="91">
        <v>19.73</v>
      </c>
      <c r="AD398" s="91">
        <v>232.65</v>
      </c>
      <c r="AE398" s="91">
        <v>252.38</v>
      </c>
      <c r="AF398" s="91">
        <v>424.44</v>
      </c>
    </row>
    <row r="399" spans="1:32" s="92" customFormat="1">
      <c r="A399" s="84"/>
      <c r="B399" s="84"/>
      <c r="C399" s="127" t="s">
        <v>476</v>
      </c>
      <c r="D399" s="84">
        <v>169.26</v>
      </c>
      <c r="E399" s="85">
        <v>51.201149999999998</v>
      </c>
      <c r="F399" s="73">
        <v>392.61</v>
      </c>
      <c r="G399" s="85">
        <v>118.76452500000001</v>
      </c>
      <c r="H399" s="74">
        <v>90.54</v>
      </c>
      <c r="I399" s="74">
        <v>27.388350000000003</v>
      </c>
      <c r="J399" s="74">
        <v>132.81</v>
      </c>
      <c r="K399" s="74">
        <v>40.175024999999998</v>
      </c>
      <c r="L399" s="74">
        <v>223.35000000000002</v>
      </c>
      <c r="M399" s="74">
        <v>67.563375000000008</v>
      </c>
      <c r="N399" s="108">
        <v>55.97</v>
      </c>
      <c r="O399" s="85">
        <v>16.930924999999998</v>
      </c>
      <c r="P399" s="109"/>
      <c r="Q399" s="109"/>
      <c r="R399" s="109"/>
      <c r="S399" s="110">
        <v>10800000</v>
      </c>
      <c r="T399" s="110">
        <v>577195200</v>
      </c>
      <c r="U399" s="110">
        <v>705460800</v>
      </c>
      <c r="V399" s="110">
        <v>1282656000</v>
      </c>
      <c r="W399" s="111">
        <v>70546080</v>
      </c>
      <c r="X399" s="112">
        <v>1353202080</v>
      </c>
      <c r="Y399" s="89">
        <v>135320208</v>
      </c>
      <c r="Z399" s="37"/>
      <c r="AA399" s="90"/>
      <c r="AB399" s="91">
        <v>90.54</v>
      </c>
      <c r="AC399" s="91">
        <v>10.38</v>
      </c>
      <c r="AD399" s="91">
        <v>122.43</v>
      </c>
      <c r="AE399" s="91">
        <v>132.81</v>
      </c>
      <c r="AF399" s="91">
        <v>223.35000000000002</v>
      </c>
    </row>
    <row r="400" spans="1:32" ht="17.25" customHeight="1" thickBot="1">
      <c r="A400" s="417" t="s">
        <v>434</v>
      </c>
      <c r="B400" s="418"/>
      <c r="C400" s="128">
        <v>19</v>
      </c>
      <c r="D400" s="32">
        <v>2603.4499999999998</v>
      </c>
      <c r="E400" s="32">
        <v>787.54362500000002</v>
      </c>
      <c r="F400" s="32">
        <v>5838.829999999999</v>
      </c>
      <c r="G400" s="32">
        <v>1766.2460750000002</v>
      </c>
      <c r="H400" s="32">
        <v>1192.54</v>
      </c>
      <c r="I400" s="32">
        <v>360.74335000000002</v>
      </c>
      <c r="J400" s="32">
        <v>2042.8400000000001</v>
      </c>
      <c r="K400" s="32">
        <v>617.95910000000003</v>
      </c>
      <c r="L400" s="32">
        <v>3235.3799999999997</v>
      </c>
      <c r="M400" s="32">
        <v>978.70245</v>
      </c>
      <c r="N400" s="32">
        <v>860.89</v>
      </c>
      <c r="O400" s="32">
        <v>260.41922499999998</v>
      </c>
      <c r="P400" s="33">
        <v>53258.310822341991</v>
      </c>
      <c r="Q400" s="33">
        <v>51000000</v>
      </c>
      <c r="R400" s="33">
        <v>510000000</v>
      </c>
      <c r="S400" s="33">
        <v>10799997.8482631</v>
      </c>
      <c r="T400" s="33">
        <v>3930033600</v>
      </c>
      <c r="U400" s="33">
        <v>4803374400</v>
      </c>
      <c r="V400" s="33">
        <v>8733408000</v>
      </c>
      <c r="W400" s="33">
        <v>480337440</v>
      </c>
      <c r="X400" s="33">
        <v>9213745440</v>
      </c>
      <c r="Y400" s="43"/>
      <c r="Z400" s="44"/>
      <c r="AB400" s="42"/>
      <c r="AC400" s="42"/>
      <c r="AD400" s="42"/>
      <c r="AE400" s="42"/>
      <c r="AF400" s="42"/>
    </row>
  </sheetData>
  <sheetProtection formatCells="0" formatColumns="0" formatRows="0" insertColumns="0" insertRows="0" insertHyperlinks="0" deleteColumns="0" deleteRows="0" sort="0" autoFilter="0" pivotTables="0"/>
  <autoFilter ref="A3:C186" xr:uid="{00000000-0001-0000-0600-000000000000}">
    <filterColumn colId="1" showButton="0"/>
  </autoFilter>
  <mergeCells count="29">
    <mergeCell ref="A400:B400"/>
    <mergeCell ref="A272:B272"/>
    <mergeCell ref="A300:B300"/>
    <mergeCell ref="A327:B327"/>
    <mergeCell ref="A354:B354"/>
    <mergeCell ref="A380:B380"/>
    <mergeCell ref="A145:B145"/>
    <mergeCell ref="A189:B189"/>
    <mergeCell ref="A217:B217"/>
    <mergeCell ref="A245:B245"/>
    <mergeCell ref="W3:W5"/>
    <mergeCell ref="A18:B18"/>
    <mergeCell ref="A30:B30"/>
    <mergeCell ref="A40:B40"/>
    <mergeCell ref="A80:B80"/>
    <mergeCell ref="A100:B100"/>
    <mergeCell ref="A3:A5"/>
    <mergeCell ref="B3:C4"/>
    <mergeCell ref="D3:E4"/>
    <mergeCell ref="F3:G4"/>
    <mergeCell ref="H3:M3"/>
    <mergeCell ref="X3:X5"/>
    <mergeCell ref="Y3:Z4"/>
    <mergeCell ref="H4:I4"/>
    <mergeCell ref="J4:K4"/>
    <mergeCell ref="L4:M4"/>
    <mergeCell ref="N3:O4"/>
    <mergeCell ref="P3:R4"/>
    <mergeCell ref="S3:V4"/>
  </mergeCells>
  <phoneticPr fontId="6" type="noConversion"/>
  <conditionalFormatting sqref="A6:B17">
    <cfRule type="expression" dxfId="4" priority="3">
      <formula>$BP6="변경"</formula>
    </cfRule>
  </conditionalFormatting>
  <conditionalFormatting sqref="A19:B29">
    <cfRule type="expression" dxfId="3" priority="2">
      <formula>$BP19="변경"</formula>
    </cfRule>
  </conditionalFormatting>
  <conditionalFormatting sqref="A31:B39">
    <cfRule type="expression" dxfId="2" priority="1">
      <formula>$BP31="변경"</formula>
    </cfRule>
  </conditionalFormatting>
  <conditionalFormatting sqref="B41:B79">
    <cfRule type="expression" dxfId="1" priority="6">
      <formula>$BP41="변경"</formula>
    </cfRule>
  </conditionalFormatting>
  <conditionalFormatting sqref="B81:B99">
    <cfRule type="expression" dxfId="0" priority="5">
      <formula>$BP81="변경"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9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클라우드힐스  분양분 견적서</vt:lpstr>
      <vt:lpstr>클라우드힐스 임대분 견적서</vt:lpstr>
      <vt:lpstr>견적서사용법</vt:lpstr>
      <vt:lpstr>분양가테이블(부가세기입X)</vt:lpstr>
      <vt:lpstr>견적서사용법!Print_Area</vt:lpstr>
      <vt:lpstr>'클라우드힐스  분양분 견적서'!Print_Area</vt:lpstr>
      <vt:lpstr>'클라우드힐스 임대분 견적서'!Print_Area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usc1912kp</dc:creator>
  <cp:lastModifiedBy>완준 심</cp:lastModifiedBy>
  <cp:revision>1</cp:revision>
  <cp:lastPrinted>2025-07-21T10:04:42Z</cp:lastPrinted>
  <dcterms:created xsi:type="dcterms:W3CDTF">2020-10-05T06:29:10Z</dcterms:created>
  <dcterms:modified xsi:type="dcterms:W3CDTF">2025-07-22T07:46:13Z</dcterms:modified>
  <cp:version>0906.0200.01</cp:version>
</cp:coreProperties>
</file>